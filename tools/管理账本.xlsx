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商品目录" sheetId="2" state="visible" r:id="rId4"/>
    <sheet name="客户档案" sheetId="3" state="visible" r:id="rId5"/>
    <sheet name="订单登记" sheetId="4" state="visible" r:id="rId6"/>
    <sheet name="采购记录" sheetId="5" state="visible" r:id="rId7"/>
    <sheet name="送货回执登记" sheetId="6" state="visible" r:id="rId8"/>
    <sheet name="收款记录" sheetId="7" state="visible" r:id="rId9"/>
    <sheet name="应收对账" sheetId="8" state="visible" r:id="rId10"/>
    <sheet name="库存" sheetId="9" state="visible" r:id="rId11"/>
    <sheet name="月度汇总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<sst xmlns="http://schemas.openxmlformats.org/spreadsheetml/2006/main" count="248" uniqueCount="161">
  <si>
    <r>
      <rPr>
        <b val="true"/>
        <sz val="14"/>
        <rFont val="WenQuanYi Zen Hei"/>
        <family val="2"/>
      </rPr>
      <t xml:space="preserve">中山店铺 </t>
    </r>
    <r>
      <rPr>
        <b val="true"/>
        <sz val="14"/>
        <rFont val="微软雅黑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管理账本 使用说明</t>
    </r>
  </si>
  <si>
    <r>
      <rPr>
        <sz val="10.5"/>
        <rFont val="WenQuanYi Zen Hei"/>
        <family val="2"/>
      </rPr>
      <t xml:space="preserve">这本账替代手写流水账</t>
    </r>
    <r>
      <rPr>
        <sz val="10.5"/>
        <rFont val="微软雅黑"/>
        <family val="0"/>
        <charset val="1"/>
      </rPr>
      <t xml:space="preserve">:</t>
    </r>
    <r>
      <rPr>
        <sz val="10.5"/>
        <rFont val="WenQuanYi Zen Hei"/>
        <family val="2"/>
      </rPr>
      <t xml:space="preserve">每天下午花</t>
    </r>
    <r>
      <rPr>
        <sz val="10.5"/>
        <rFont val="微软雅黑"/>
        <family val="0"/>
        <charset val="1"/>
      </rPr>
      <t xml:space="preserve">30</t>
    </r>
    <r>
      <rPr>
        <sz val="10.5"/>
        <rFont val="WenQuanYi Zen Hei"/>
        <family val="2"/>
      </rPr>
      <t xml:space="preserve">分钟录入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月底应收、库存、利润自动算出来。</t>
    </r>
  </si>
  <si>
    <t xml:space="preserve">【一天怎么用】</t>
  </si>
  <si>
    <r>
      <rPr>
        <sz val="10.5"/>
        <rFont val="微软雅黑"/>
        <family val="0"/>
        <charset val="1"/>
      </rPr>
      <t xml:space="preserve">1. </t>
    </r>
    <r>
      <rPr>
        <sz val="10.5"/>
        <rFont val="WenQuanYi Zen Hei"/>
        <family val="2"/>
      </rPr>
      <t xml:space="preserve">晚上接单后 → 把订单一条条记进【订单登记】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一个品种一行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同一单用同一个订单号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</si>
  <si>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微软雅黑"/>
        <family val="0"/>
        <charset val="1"/>
      </rPr>
      <t xml:space="preserve">2. </t>
    </r>
    <r>
      <rPr>
        <sz val="10.5"/>
        <rFont val="WenQuanYi Zen Hei"/>
        <family val="2"/>
      </rPr>
      <t xml:space="preserve">清晨市场采购回来 → 记【采购记录】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照着收据抄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</si>
  <si>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微软雅黑"/>
        <family val="0"/>
        <charset val="1"/>
      </rPr>
      <t xml:space="preserve">3. </t>
    </r>
    <r>
      <rPr>
        <sz val="10.5"/>
        <rFont val="WenQuanYi Zen Hei"/>
        <family val="2"/>
      </rPr>
      <t xml:space="preserve">下午回执收回来 → 记【送货回执登记】</t>
    </r>
    <r>
      <rPr>
        <sz val="10.5"/>
        <rFont val="微软雅黑"/>
        <family val="0"/>
        <charset val="1"/>
      </rPr>
      <t xml:space="preserve">;</t>
    </r>
    <r>
      <rPr>
        <sz val="10.5"/>
        <rFont val="WenQuanYi Zen Hei"/>
        <family val="2"/>
      </rPr>
      <t xml:space="preserve">收到的每一笔钱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包括现结当场收的</t>
    </r>
    <r>
      <rPr>
        <sz val="10.5"/>
        <rFont val="微软雅黑"/>
        <family val="0"/>
        <charset val="1"/>
      </rPr>
      <t xml:space="preserve">)</t>
    </r>
    <r>
      <rPr>
        <sz val="10.5"/>
        <rFont val="WenQuanYi Zen Hei"/>
        <family val="2"/>
      </rPr>
      <t xml:space="preserve">记【收款记录】</t>
    </r>
  </si>
  <si>
    <r>
      <rPr>
        <sz val="10.5"/>
        <rFont val="微软雅黑"/>
        <family val="0"/>
        <charset val="1"/>
      </rPr>
      <t xml:space="preserve">4. </t>
    </r>
    <r>
      <rPr>
        <sz val="10.5"/>
        <rFont val="WenQuanYi Zen Hei"/>
        <family val="2"/>
      </rPr>
      <t xml:space="preserve">想看谁欠多少钱 → 打开【应收对账】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自动算好</t>
    </r>
    <r>
      <rPr>
        <sz val="10.5"/>
        <rFont val="微软雅黑"/>
        <family val="0"/>
        <charset val="1"/>
      </rPr>
      <t xml:space="preserve">;</t>
    </r>
    <r>
      <rPr>
        <sz val="10.5"/>
        <rFont val="WenQuanYi Zen Hei"/>
        <family val="2"/>
      </rPr>
      <t xml:space="preserve">想看货还剩多少 → 打开【库存】</t>
    </r>
  </si>
  <si>
    <r>
      <rPr>
        <sz val="10.5"/>
        <rFont val="微软雅黑"/>
        <family val="0"/>
        <charset val="1"/>
      </rPr>
      <t xml:space="preserve">5. </t>
    </r>
    <r>
      <rPr>
        <sz val="10.5"/>
        <rFont val="WenQuanYi Zen Hei"/>
        <family val="2"/>
      </rPr>
      <t xml:space="preserve">月底看【月度汇总】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费用那几格手填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净利自动出</t>
    </r>
  </si>
  <si>
    <t xml:space="preserve">【颜色和规矩】</t>
  </si>
  <si>
    <r>
      <rPr>
        <sz val="10.5"/>
        <rFont val="微软雅黑"/>
        <family val="0"/>
        <charset val="1"/>
      </rPr>
      <t xml:space="preserve">· </t>
    </r>
    <r>
      <rPr>
        <sz val="10.5"/>
        <rFont val="WenQuanYi Zen Hei"/>
        <family val="2"/>
      </rPr>
      <t xml:space="preserve">浅黄色的行是示例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照着格式填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看懂后可整行删除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库存表黄色期初数改成自己盘点的数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</si>
  <si>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微软雅黑"/>
        <family val="0"/>
        <charset val="1"/>
      </rPr>
      <t xml:space="preserve">· </t>
    </r>
    <r>
      <rPr>
        <sz val="10.5"/>
        <rFont val="WenQuanYi Zen Hei"/>
        <family val="2"/>
      </rPr>
      <t xml:space="preserve">表头是深蓝色</t>
    </r>
    <r>
      <rPr>
        <sz val="10.5"/>
        <rFont val="微软雅黑"/>
        <family val="0"/>
        <charset val="1"/>
      </rPr>
      <t xml:space="preserve">;</t>
    </r>
    <r>
      <rPr>
        <sz val="10.5"/>
        <rFont val="WenQuanYi Zen Hei"/>
        <family val="2"/>
      </rPr>
      <t xml:space="preserve">凡是“金额、期末应收、当前库存”这类自动算的格子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里面是公式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不要手改</t>
    </r>
  </si>
  <si>
    <r>
      <rPr>
        <sz val="10.5"/>
        <rFont val="微软雅黑"/>
        <family val="0"/>
        <charset val="1"/>
      </rPr>
      <t xml:space="preserve">· </t>
    </r>
    <r>
      <rPr>
        <sz val="10.5"/>
        <rFont val="WenQuanYi Zen Hei"/>
        <family val="2"/>
      </rPr>
      <t xml:space="preserve">品名和规格必须与【商品目录】写得一字不差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建议复制粘贴</t>
    </r>
    <r>
      <rPr>
        <sz val="10.5"/>
        <rFont val="微软雅黑"/>
        <family val="0"/>
        <charset val="1"/>
      </rPr>
      <t xml:space="preserve">),</t>
    </r>
    <r>
      <rPr>
        <sz val="10.5"/>
        <rFont val="WenQuanYi Zen Hei"/>
        <family val="2"/>
      </rPr>
      <t xml:space="preserve">否则库存对不上账</t>
    </r>
  </si>
  <si>
    <r>
      <rPr>
        <sz val="10.5"/>
        <rFont val="微软雅黑"/>
        <family val="0"/>
        <charset val="1"/>
      </rPr>
      <t xml:space="preserve">· </t>
    </r>
    <r>
      <rPr>
        <sz val="10.5"/>
        <rFont val="WenQuanYi Zen Hei"/>
        <family val="2"/>
      </rPr>
      <t xml:space="preserve">客户店名必须与【客户档案】写得一字不差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否则应收对不上账</t>
    </r>
  </si>
  <si>
    <r>
      <rPr>
        <sz val="10.5"/>
        <rFont val="微软雅黑"/>
        <family val="0"/>
        <charset val="1"/>
      </rPr>
      <t xml:space="preserve">· </t>
    </r>
    <r>
      <rPr>
        <sz val="10.5"/>
        <rFont val="WenQuanYi Zen Hei"/>
        <family val="2"/>
      </rPr>
      <t xml:space="preserve">现结客户当场收的钱也要记进【收款记录】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应收才能对平</t>
    </r>
  </si>
  <si>
    <r>
      <rPr>
        <b val="true"/>
        <sz val="11"/>
        <color rgb="FF2F5597"/>
        <rFont val="WenQuanYi Zen Hei"/>
        <family val="2"/>
      </rPr>
      <t xml:space="preserve">【每月</t>
    </r>
    <r>
      <rPr>
        <b val="true"/>
        <sz val="11"/>
        <color rgb="FF2F5597"/>
        <rFont val="微软雅黑"/>
        <family val="0"/>
        <charset val="1"/>
      </rPr>
      <t xml:space="preserve">1</t>
    </r>
    <r>
      <rPr>
        <b val="true"/>
        <sz val="11"/>
        <color rgb="FF2F5597"/>
        <rFont val="WenQuanYi Zen Hei"/>
        <family val="2"/>
      </rPr>
      <t xml:space="preserve">日换新账本】</t>
    </r>
  </si>
  <si>
    <r>
      <rPr>
        <sz val="10.5"/>
        <rFont val="微软雅黑"/>
        <family val="0"/>
        <charset val="1"/>
      </rPr>
      <t xml:space="preserve">1. </t>
    </r>
    <r>
      <rPr>
        <sz val="10.5"/>
        <rFont val="WenQuanYi Zen Hei"/>
        <family val="2"/>
      </rPr>
      <t xml:space="preserve">把本文件另存为“管理账本</t>
    </r>
    <r>
      <rPr>
        <sz val="10.5"/>
        <rFont val="微软雅黑"/>
        <family val="0"/>
        <charset val="1"/>
      </rPr>
      <t xml:space="preserve">-2026</t>
    </r>
    <r>
      <rPr>
        <sz val="10.5"/>
        <rFont val="WenQuanYi Zen Hei"/>
        <family val="2"/>
      </rPr>
      <t xml:space="preserve">年</t>
    </r>
    <r>
      <rPr>
        <sz val="10.5"/>
        <rFont val="微软雅黑"/>
        <family val="0"/>
        <charset val="1"/>
      </rPr>
      <t xml:space="preserve">8</t>
    </r>
    <r>
      <rPr>
        <sz val="10.5"/>
        <rFont val="WenQuanYi Zen Hei"/>
        <family val="2"/>
      </rPr>
      <t xml:space="preserve">月</t>
    </r>
    <r>
      <rPr>
        <sz val="10.5"/>
        <rFont val="微软雅黑"/>
        <family val="0"/>
        <charset val="1"/>
      </rPr>
      <t xml:space="preserve">.xlsx”(</t>
    </r>
    <r>
      <rPr>
        <sz val="10.5"/>
        <rFont val="WenQuanYi Zen Hei"/>
        <family val="2"/>
      </rPr>
      <t xml:space="preserve">文件名带月份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</si>
  <si>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微软雅黑"/>
        <family val="0"/>
        <charset val="1"/>
      </rPr>
      <t xml:space="preserve">2. </t>
    </r>
    <r>
      <rPr>
        <sz val="10.5"/>
        <rFont val="WenQuanYi Zen Hei"/>
        <family val="2"/>
      </rPr>
      <t xml:space="preserve">新文件里</t>
    </r>
    <r>
      <rPr>
        <sz val="10.5"/>
        <rFont val="微软雅黑"/>
        <family val="0"/>
        <charset val="1"/>
      </rPr>
      <t xml:space="preserve">:</t>
    </r>
    <r>
      <rPr>
        <sz val="10.5"/>
        <rFont val="WenQuanYi Zen Hei"/>
        <family val="2"/>
      </rPr>
      <t xml:space="preserve">把【应收对账】每户的“期末应收”数字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手抄到“期初欠款”列</t>
    </r>
  </si>
  <si>
    <r>
      <rPr>
        <sz val="10.5"/>
        <rFont val="微软雅黑"/>
        <family val="0"/>
        <charset val="1"/>
      </rPr>
      <t xml:space="preserve">3. </t>
    </r>
    <r>
      <rPr>
        <sz val="10.5"/>
        <rFont val="WenQuanYi Zen Hei"/>
        <family val="2"/>
      </rPr>
      <t xml:space="preserve">把【库存】每个品种的“当前库存”数字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手抄到“期初库存”列</t>
    </r>
  </si>
  <si>
    <r>
      <rPr>
        <sz val="10.5"/>
        <rFont val="微软雅黑"/>
        <family val="0"/>
        <charset val="1"/>
      </rPr>
      <t xml:space="preserve">4. </t>
    </r>
    <r>
      <rPr>
        <sz val="10.5"/>
        <rFont val="WenQuanYi Zen Hei"/>
        <family val="2"/>
      </rPr>
      <t xml:space="preserve">清空【订单登记】【采购记录】【送货回执登记】【收款记录】的流水行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表头和公式列保留</t>
    </r>
    <r>
      <rPr>
        <sz val="10.5"/>
        <rFont val="微软雅黑"/>
        <family val="0"/>
        <charset val="1"/>
      </rPr>
      <t xml:space="preserve">:</t>
    </r>
    <r>
      <rPr>
        <sz val="10.5"/>
        <rFont val="WenQuanYi Zen Hei"/>
        <family val="2"/>
      </rPr>
      <t xml:space="preserve">只删手填的行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</si>
  <si>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微软雅黑"/>
        <family val="0"/>
        <charset val="1"/>
      </rPr>
      <t xml:space="preserve">5. </t>
    </r>
    <r>
      <rPr>
        <sz val="10.5"/>
        <rFont val="WenQuanYi Zen Hei"/>
        <family val="2"/>
      </rPr>
      <t xml:space="preserve">上月文件不要删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发一份到微信“文件传输助手”存底</t>
    </r>
  </si>
  <si>
    <r>
      <rPr>
        <sz val="10.5"/>
        <rFont val="WenQuanYi Zen Hei"/>
        <family val="2"/>
      </rPr>
      <t xml:space="preserve">【备份】每周五晚上把文件发一次微信文件传输助手或存网盘</t>
    </r>
    <r>
      <rPr>
        <sz val="10.5"/>
        <rFont val="微软雅黑"/>
        <family val="0"/>
        <charset val="1"/>
      </rPr>
      <t xml:space="preserve">;</t>
    </r>
    <r>
      <rPr>
        <sz val="10.5"/>
        <rFont val="WenQuanYi Zen Hei"/>
        <family val="2"/>
      </rPr>
      <t xml:space="preserve">手机用 </t>
    </r>
    <r>
      <rPr>
        <sz val="10.5"/>
        <rFont val="微软雅黑"/>
        <family val="0"/>
        <charset val="1"/>
      </rPr>
      <t xml:space="preserve">WPS/</t>
    </r>
    <r>
      <rPr>
        <sz val="10.5"/>
        <rFont val="WenQuanYi Zen Hei"/>
        <family val="2"/>
      </rPr>
      <t xml:space="preserve">腾讯文档也能打开填写。</t>
    </r>
  </si>
  <si>
    <r>
      <rPr>
        <sz val="10"/>
        <color rgb="FF808080"/>
        <rFont val="WenQuanYi Zen Hei"/>
        <family val="2"/>
      </rPr>
      <t xml:space="preserve">配套纸质单据版式见仓库 </t>
    </r>
    <r>
      <rPr>
        <sz val="10"/>
        <color rgb="FF808080"/>
        <rFont val="微软雅黑"/>
        <family val="0"/>
        <charset val="1"/>
      </rPr>
      <t xml:space="preserve">templates/ </t>
    </r>
    <r>
      <rPr>
        <sz val="10"/>
        <color rgb="FF808080"/>
        <rFont val="WenQuanYi Zen Hei"/>
        <family val="2"/>
      </rPr>
      <t xml:space="preserve">目录</t>
    </r>
    <r>
      <rPr>
        <sz val="10"/>
        <color rgb="FF808080"/>
        <rFont val="微软雅黑"/>
        <family val="0"/>
        <charset val="1"/>
      </rPr>
      <t xml:space="preserve">;</t>
    </r>
    <r>
      <rPr>
        <sz val="10"/>
        <color rgb="FF808080"/>
        <rFont val="WenQuanYi Zen Hei"/>
        <family val="2"/>
      </rPr>
      <t xml:space="preserve">整套用法见 </t>
    </r>
    <r>
      <rPr>
        <sz val="10"/>
        <color rgb="FF808080"/>
        <rFont val="微软雅黑"/>
        <family val="0"/>
        <charset val="1"/>
      </rPr>
      <t xml:space="preserve">docs/ </t>
    </r>
    <r>
      <rPr>
        <sz val="10"/>
        <color rgb="FF808080"/>
        <rFont val="WenQuanYi Zen Hei"/>
        <family val="2"/>
      </rPr>
      <t xml:space="preserve">目录八篇方案。</t>
    </r>
  </si>
  <si>
    <t xml:space="preserve">编码</t>
  </si>
  <si>
    <t xml:space="preserve">品名</t>
  </si>
  <si>
    <t xml:space="preserve">规格</t>
  </si>
  <si>
    <t xml:space="preserve">单位</t>
  </si>
  <si>
    <r>
      <rPr>
        <b val="true"/>
        <sz val="11"/>
        <color rgb="FFFFFFFF"/>
        <rFont val="WenQuanYi Zen Hei"/>
        <family val="2"/>
      </rPr>
      <t xml:space="preserve">参考进价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</si>
  <si>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销售单价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</si>
  <si>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主供应商</t>
  </si>
  <si>
    <r>
      <rPr>
        <b val="true"/>
        <sz val="11"/>
        <color rgb="FFFFFFFF"/>
        <rFont val="WenQuanYi Zen Hei"/>
        <family val="2"/>
      </rPr>
      <t xml:space="preserve">保质期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月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</si>
  <si>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安全库存</t>
  </si>
  <si>
    <t xml:space="preserve">备注</t>
  </si>
  <si>
    <t xml:space="preserve">TW-001</t>
  </si>
  <si>
    <t xml:space="preserve">黄豆酱油</t>
  </si>
  <si>
    <r>
      <rPr>
        <sz val="10.5"/>
        <rFont val="微软雅黑"/>
        <family val="0"/>
        <charset val="1"/>
      </rPr>
      <t xml:space="preserve">10L/</t>
    </r>
    <r>
      <rPr>
        <sz val="10.5"/>
        <rFont val="WenQuanYi Zen Hei"/>
        <family val="2"/>
      </rPr>
      <t xml:space="preserve">桶</t>
    </r>
  </si>
  <si>
    <t xml:space="preserve">桶</t>
  </si>
  <si>
    <r>
      <rPr>
        <sz val="10.5"/>
        <rFont val="WenQuanYi Zen Hei"/>
        <family val="2"/>
      </rPr>
      <t xml:space="preserve">王记调味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市场</t>
    </r>
    <r>
      <rPr>
        <sz val="10.5"/>
        <rFont val="微软雅黑"/>
        <family val="0"/>
        <charset val="1"/>
      </rPr>
      <t xml:space="preserve">A</t>
    </r>
    <r>
      <rPr>
        <sz val="10.5"/>
        <rFont val="WenQuanYi Zen Hei"/>
        <family val="2"/>
      </rPr>
      <t xml:space="preserve">区</t>
    </r>
    <r>
      <rPr>
        <sz val="10.5"/>
        <rFont val="微软雅黑"/>
        <family val="0"/>
        <charset val="1"/>
      </rPr>
      <t xml:space="preserve">12</t>
    </r>
    <r>
      <rPr>
        <sz val="10.5"/>
        <rFont val="WenQuanYi Zen Hei"/>
        <family val="2"/>
      </rPr>
      <t xml:space="preserve">号</t>
    </r>
    <r>
      <rPr>
        <sz val="10.5"/>
        <rFont val="微软雅黑"/>
        <family val="0"/>
        <charset val="1"/>
      </rPr>
      <t xml:space="preserve">)</t>
    </r>
  </si>
  <si>
    <r>
      <rPr>
        <sz val="10.5"/>
        <rFont val="WenQuanYi Zen Hei"/>
        <family val="2"/>
      </rPr>
      <t xml:space="preserve">示例行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可删</t>
    </r>
  </si>
  <si>
    <t xml:space="preserve">TW-002</t>
  </si>
  <si>
    <t xml:space="preserve">老陈醋</t>
  </si>
  <si>
    <r>
      <rPr>
        <sz val="10.5"/>
        <rFont val="微软雅黑"/>
        <family val="0"/>
        <charset val="1"/>
      </rPr>
      <t xml:space="preserve">420ml×15</t>
    </r>
    <r>
      <rPr>
        <sz val="10.5"/>
        <rFont val="WenQuanYi Zen Hei"/>
        <family val="2"/>
      </rPr>
      <t xml:space="preserve">瓶</t>
    </r>
    <r>
      <rPr>
        <sz val="10.5"/>
        <rFont val="微软雅黑"/>
        <family val="0"/>
        <charset val="1"/>
      </rPr>
      <t xml:space="preserve">/</t>
    </r>
    <r>
      <rPr>
        <sz val="10.5"/>
        <rFont val="WenQuanYi Zen Hei"/>
        <family val="2"/>
      </rPr>
      <t xml:space="preserve">件</t>
    </r>
  </si>
  <si>
    <t xml:space="preserve">件</t>
  </si>
  <si>
    <t xml:space="preserve">TW-003</t>
  </si>
  <si>
    <t xml:space="preserve">花椒</t>
  </si>
  <si>
    <r>
      <rPr>
        <sz val="10.5"/>
        <rFont val="微软雅黑"/>
        <family val="0"/>
        <charset val="1"/>
      </rPr>
      <t xml:space="preserve">500g/</t>
    </r>
    <r>
      <rPr>
        <sz val="10.5"/>
        <rFont val="WenQuanYi Zen Hei"/>
        <family val="2"/>
      </rPr>
      <t xml:space="preserve">袋</t>
    </r>
  </si>
  <si>
    <t xml:space="preserve">袋</t>
  </si>
  <si>
    <r>
      <rPr>
        <sz val="10.5"/>
        <rFont val="WenQuanYi Zen Hei"/>
        <family val="2"/>
      </rPr>
      <t xml:space="preserve">李记干货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市场</t>
    </r>
    <r>
      <rPr>
        <sz val="10.5"/>
        <rFont val="微软雅黑"/>
        <family val="0"/>
        <charset val="1"/>
      </rPr>
      <t xml:space="preserve">B</t>
    </r>
    <r>
      <rPr>
        <sz val="10.5"/>
        <rFont val="WenQuanYi Zen Hei"/>
        <family val="2"/>
      </rPr>
      <t xml:space="preserve">区</t>
    </r>
    <r>
      <rPr>
        <sz val="10.5"/>
        <rFont val="微软雅黑"/>
        <family val="0"/>
        <charset val="1"/>
      </rPr>
      <t xml:space="preserve">3</t>
    </r>
    <r>
      <rPr>
        <sz val="10.5"/>
        <rFont val="WenQuanYi Zen Hei"/>
        <family val="2"/>
      </rPr>
      <t xml:space="preserve">号</t>
    </r>
    <r>
      <rPr>
        <sz val="10.5"/>
        <rFont val="微软雅黑"/>
        <family val="0"/>
        <charset val="1"/>
      </rPr>
      <t xml:space="preserve">)</t>
    </r>
  </si>
  <si>
    <t xml:space="preserve">LY-001</t>
  </si>
  <si>
    <t xml:space="preserve">大豆油</t>
  </si>
  <si>
    <r>
      <rPr>
        <sz val="10.5"/>
        <rFont val="微软雅黑"/>
        <family val="0"/>
        <charset val="1"/>
      </rPr>
      <t xml:space="preserve">20L/</t>
    </r>
    <r>
      <rPr>
        <sz val="10.5"/>
        <rFont val="WenQuanYi Zen Hei"/>
        <family val="2"/>
      </rPr>
      <t xml:space="preserve">桶</t>
    </r>
  </si>
  <si>
    <r>
      <rPr>
        <sz val="10.5"/>
        <rFont val="WenQuanYi Zen Hei"/>
        <family val="2"/>
      </rPr>
      <t xml:space="preserve">张记粮油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市场</t>
    </r>
    <r>
      <rPr>
        <sz val="10.5"/>
        <rFont val="微软雅黑"/>
        <family val="0"/>
        <charset val="1"/>
      </rPr>
      <t xml:space="preserve">C</t>
    </r>
    <r>
      <rPr>
        <sz val="10.5"/>
        <rFont val="WenQuanYi Zen Hei"/>
        <family val="2"/>
      </rPr>
      <t xml:space="preserve">区</t>
    </r>
    <r>
      <rPr>
        <sz val="10.5"/>
        <rFont val="微软雅黑"/>
        <family val="0"/>
        <charset val="1"/>
      </rPr>
      <t xml:space="preserve">1</t>
    </r>
    <r>
      <rPr>
        <sz val="10.5"/>
        <rFont val="WenQuanYi Zen Hei"/>
        <family val="2"/>
      </rPr>
      <t xml:space="preserve">号</t>
    </r>
    <r>
      <rPr>
        <sz val="10.5"/>
        <rFont val="微软雅黑"/>
        <family val="0"/>
        <charset val="1"/>
      </rPr>
      <t xml:space="preserve">)</t>
    </r>
  </si>
  <si>
    <t xml:space="preserve">LY-002</t>
  </si>
  <si>
    <t xml:space="preserve">高筋面粉</t>
  </si>
  <si>
    <r>
      <rPr>
        <sz val="10.5"/>
        <rFont val="微软雅黑"/>
        <family val="0"/>
        <charset val="1"/>
      </rPr>
      <t xml:space="preserve">25kg/</t>
    </r>
    <r>
      <rPr>
        <sz val="10.5"/>
        <rFont val="WenQuanYi Zen Hei"/>
        <family val="2"/>
      </rPr>
      <t xml:space="preserve">袋</t>
    </r>
  </si>
  <si>
    <t xml:space="preserve">客户编号</t>
  </si>
  <si>
    <t xml:space="preserve">店名</t>
  </si>
  <si>
    <t xml:space="preserve">分级</t>
  </si>
  <si>
    <t xml:space="preserve">老板姓名</t>
  </si>
  <si>
    <t xml:space="preserve">电话</t>
  </si>
  <si>
    <t xml:space="preserve">微信备注名</t>
  </si>
  <si>
    <t xml:space="preserve">店铺地址</t>
  </si>
  <si>
    <t xml:space="preserve">收货时间要求</t>
  </si>
  <si>
    <t xml:space="preserve">指定收货人</t>
  </si>
  <si>
    <t xml:space="preserve">结算方式</t>
  </si>
  <si>
    <r>
      <rPr>
        <b val="true"/>
        <sz val="11"/>
        <color rgb="FFFFFFFF"/>
        <rFont val="WenQuanYi Zen Hei"/>
        <family val="2"/>
      </rPr>
      <t xml:space="preserve">信用额度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</si>
  <si>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常用品</t>
  </si>
  <si>
    <t xml:space="preserve">KH-001</t>
  </si>
  <si>
    <t xml:space="preserve">老王饺子馆</t>
  </si>
  <si>
    <t xml:space="preserve">B</t>
  </si>
  <si>
    <t xml:space="preserve">王建国</t>
  </si>
  <si>
    <t xml:space="preserve">13800005678</t>
  </si>
  <si>
    <r>
      <rPr>
        <sz val="10.5"/>
        <rFont val="微软雅黑"/>
        <family val="0"/>
        <charset val="1"/>
      </rPr>
      <t xml:space="preserve">B-</t>
    </r>
    <r>
      <rPr>
        <sz val="10.5"/>
        <rFont val="WenQuanYi Zen Hei"/>
        <family val="2"/>
      </rPr>
      <t xml:space="preserve">老王饺子馆</t>
    </r>
    <r>
      <rPr>
        <sz val="10.5"/>
        <rFont val="微软雅黑"/>
        <family val="0"/>
        <charset val="1"/>
      </rPr>
      <t xml:space="preserve">-</t>
    </r>
    <r>
      <rPr>
        <sz val="10.5"/>
        <rFont val="WenQuanYi Zen Hei"/>
        <family val="2"/>
      </rPr>
      <t xml:space="preserve">王老板</t>
    </r>
  </si>
  <si>
    <r>
      <rPr>
        <sz val="10.5"/>
        <rFont val="WenQuanYi Zen Hei"/>
        <family val="2"/>
      </rPr>
      <t xml:space="preserve">中山路</t>
    </r>
    <r>
      <rPr>
        <sz val="10.5"/>
        <rFont val="微软雅黑"/>
        <family val="0"/>
        <charset val="1"/>
      </rPr>
      <t xml:space="preserve">45</t>
    </r>
    <r>
      <rPr>
        <sz val="10.5"/>
        <rFont val="WenQuanYi Zen Hei"/>
        <family val="2"/>
      </rPr>
      <t xml:space="preserve">号</t>
    </r>
  </si>
  <si>
    <r>
      <rPr>
        <sz val="10.5"/>
        <rFont val="WenQuanYi Zen Hei"/>
        <family val="2"/>
      </rPr>
      <t xml:space="preserve">上午</t>
    </r>
    <r>
      <rPr>
        <sz val="10.5"/>
        <rFont val="微软雅黑"/>
        <family val="0"/>
        <charset val="1"/>
      </rPr>
      <t xml:space="preserve">10</t>
    </r>
    <r>
      <rPr>
        <sz val="10.5"/>
        <rFont val="WenQuanYi Zen Hei"/>
        <family val="2"/>
      </rPr>
      <t xml:space="preserve">点前</t>
    </r>
  </si>
  <si>
    <r>
      <rPr>
        <sz val="10.5"/>
        <rFont val="WenQuanYi Zen Hei"/>
        <family val="2"/>
      </rPr>
      <t xml:space="preserve">王建国</t>
    </r>
    <r>
      <rPr>
        <sz val="10.5"/>
        <rFont val="微软雅黑"/>
        <family val="0"/>
        <charset val="1"/>
      </rPr>
      <t xml:space="preserve">/</t>
    </r>
    <r>
      <rPr>
        <sz val="10.5"/>
        <rFont val="WenQuanYi Zen Hei"/>
        <family val="2"/>
      </rPr>
      <t xml:space="preserve">小李</t>
    </r>
  </si>
  <si>
    <t xml:space="preserve">半月结</t>
  </si>
  <si>
    <t xml:space="preserve">酱油、醋、面粉</t>
  </si>
  <si>
    <t xml:space="preserve">KH-002</t>
  </si>
  <si>
    <r>
      <rPr>
        <sz val="10.5"/>
        <rFont val="WenQuanYi Zen Hei"/>
        <family val="2"/>
      </rPr>
      <t xml:space="preserve">学苑食堂</t>
    </r>
    <r>
      <rPr>
        <sz val="10.5"/>
        <rFont val="微软雅黑"/>
        <family val="0"/>
        <charset val="1"/>
      </rPr>
      <t xml:space="preserve">3</t>
    </r>
    <r>
      <rPr>
        <sz val="10.5"/>
        <rFont val="WenQuanYi Zen Hei"/>
        <family val="2"/>
      </rPr>
      <t xml:space="preserve">号档口</t>
    </r>
  </si>
  <si>
    <t xml:space="preserve">A</t>
  </si>
  <si>
    <t xml:space="preserve">刘敏</t>
  </si>
  <si>
    <t xml:space="preserve">13900001234</t>
  </si>
  <si>
    <r>
      <rPr>
        <sz val="10.5"/>
        <rFont val="微软雅黑"/>
        <family val="0"/>
        <charset val="1"/>
      </rPr>
      <t xml:space="preserve">A-</t>
    </r>
    <r>
      <rPr>
        <sz val="10.5"/>
        <rFont val="WenQuanYi Zen Hei"/>
        <family val="2"/>
      </rPr>
      <t xml:space="preserve">学苑食堂</t>
    </r>
    <r>
      <rPr>
        <sz val="10.5"/>
        <rFont val="微软雅黑"/>
        <family val="0"/>
        <charset val="1"/>
      </rPr>
      <t xml:space="preserve">3</t>
    </r>
    <r>
      <rPr>
        <sz val="10.5"/>
        <rFont val="WenQuanYi Zen Hei"/>
        <family val="2"/>
      </rPr>
      <t xml:space="preserve">档</t>
    </r>
    <r>
      <rPr>
        <sz val="10.5"/>
        <rFont val="微软雅黑"/>
        <family val="0"/>
        <charset val="1"/>
      </rPr>
      <t xml:space="preserve">-</t>
    </r>
    <r>
      <rPr>
        <sz val="10.5"/>
        <rFont val="WenQuanYi Zen Hei"/>
        <family val="2"/>
      </rPr>
      <t xml:space="preserve">刘姐</t>
    </r>
  </si>
  <si>
    <t xml:space="preserve">大学城食堂一楼</t>
  </si>
  <si>
    <r>
      <rPr>
        <sz val="10.5"/>
        <rFont val="WenQuanYi Zen Hei"/>
        <family val="2"/>
      </rPr>
      <t xml:space="preserve">上午</t>
    </r>
    <r>
      <rPr>
        <sz val="10.5"/>
        <rFont val="微软雅黑"/>
        <family val="0"/>
        <charset val="1"/>
      </rPr>
      <t xml:space="preserve">9</t>
    </r>
    <r>
      <rPr>
        <sz val="10.5"/>
        <rFont val="WenQuanYi Zen Hei"/>
        <family val="2"/>
      </rPr>
      <t xml:space="preserve">点前</t>
    </r>
  </si>
  <si>
    <t xml:space="preserve">月结</t>
  </si>
  <si>
    <t xml:space="preserve">大豆油、面粉、花椒</t>
  </si>
  <si>
    <t xml:space="preserve">KH-003</t>
  </si>
  <si>
    <t xml:space="preserve">红星烧烤</t>
  </si>
  <si>
    <t xml:space="preserve">C</t>
  </si>
  <si>
    <t xml:space="preserve">赵磊</t>
  </si>
  <si>
    <t xml:space="preserve">13700009999</t>
  </si>
  <si>
    <r>
      <rPr>
        <sz val="10.5"/>
        <rFont val="微软雅黑"/>
        <family val="0"/>
        <charset val="1"/>
      </rPr>
      <t xml:space="preserve">C-</t>
    </r>
    <r>
      <rPr>
        <sz val="10.5"/>
        <rFont val="WenQuanYi Zen Hei"/>
        <family val="2"/>
      </rPr>
      <t xml:space="preserve">红星烧烤</t>
    </r>
    <r>
      <rPr>
        <sz val="10.5"/>
        <rFont val="微软雅黑"/>
        <family val="0"/>
        <charset val="1"/>
      </rPr>
      <t xml:space="preserve">-</t>
    </r>
    <r>
      <rPr>
        <sz val="10.5"/>
        <rFont val="WenQuanYi Zen Hei"/>
        <family val="2"/>
      </rPr>
      <t xml:space="preserve">赵老板</t>
    </r>
  </si>
  <si>
    <r>
      <rPr>
        <sz val="10.5"/>
        <rFont val="WenQuanYi Zen Hei"/>
        <family val="2"/>
      </rPr>
      <t xml:space="preserve">建设街</t>
    </r>
    <r>
      <rPr>
        <sz val="10.5"/>
        <rFont val="微软雅黑"/>
        <family val="0"/>
        <charset val="1"/>
      </rPr>
      <t xml:space="preserve">12</t>
    </r>
    <r>
      <rPr>
        <sz val="10.5"/>
        <rFont val="WenQuanYi Zen Hei"/>
        <family val="2"/>
      </rPr>
      <t xml:space="preserve">号</t>
    </r>
  </si>
  <si>
    <r>
      <rPr>
        <sz val="10.5"/>
        <rFont val="WenQuanYi Zen Hei"/>
        <family val="2"/>
      </rPr>
      <t xml:space="preserve">下午</t>
    </r>
    <r>
      <rPr>
        <sz val="10.5"/>
        <rFont val="微软雅黑"/>
        <family val="0"/>
        <charset val="1"/>
      </rPr>
      <t xml:space="preserve">4</t>
    </r>
    <r>
      <rPr>
        <sz val="10.5"/>
        <rFont val="WenQuanYi Zen Hei"/>
        <family val="2"/>
      </rPr>
      <t xml:space="preserve">点前</t>
    </r>
  </si>
  <si>
    <t xml:space="preserve">现结</t>
  </si>
  <si>
    <t xml:space="preserve">花椒、大豆油</t>
  </si>
  <si>
    <t xml:space="preserve">日期</t>
  </si>
  <si>
    <t xml:space="preserve">订单号</t>
  </si>
  <si>
    <t xml:space="preserve">客户</t>
  </si>
  <si>
    <t xml:space="preserve">数量</t>
  </si>
  <si>
    <r>
      <rPr>
        <b val="true"/>
        <sz val="11"/>
        <color rgb="FFFFFFFF"/>
        <rFont val="WenQuanYi Zen Hei"/>
        <family val="2"/>
      </rPr>
      <t xml:space="preserve">单价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</si>
  <si>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金额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自动</t>
    </r>
  </si>
  <si>
    <t xml:space="preserve">要求送达时间</t>
  </si>
  <si>
    <t xml:space="preserve">状态</t>
  </si>
  <si>
    <t xml:space="preserve">2026-07-31</t>
  </si>
  <si>
    <t xml:space="preserve">DD20260731-01</t>
  </si>
  <si>
    <t xml:space="preserve">已签收</t>
  </si>
  <si>
    <t xml:space="preserve">DD20260731-02</t>
  </si>
  <si>
    <t xml:space="preserve">供应商</t>
  </si>
  <si>
    <t xml:space="preserve">有无票据</t>
  </si>
  <si>
    <t xml:space="preserve">有</t>
  </si>
  <si>
    <t xml:space="preserve">回执单号</t>
  </si>
  <si>
    <r>
      <rPr>
        <b val="true"/>
        <sz val="11"/>
        <color rgb="FFFFFFFF"/>
        <rFont val="WenQuanYi Zen Hei"/>
        <family val="2"/>
      </rPr>
      <t xml:space="preserve">金额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</si>
  <si>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是否签收</t>
  </si>
  <si>
    <t xml:space="preserve">回执是否收回</t>
  </si>
  <si>
    <t xml:space="preserve">收货人</t>
  </si>
  <si>
    <t xml:space="preserve">HZ20260731-01</t>
  </si>
  <si>
    <t xml:space="preserve">是</t>
  </si>
  <si>
    <r>
      <rPr>
        <sz val="10.5"/>
        <rFont val="WenQuanYi Zen Hei"/>
        <family val="2"/>
      </rPr>
      <t xml:space="preserve">小李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员工</t>
    </r>
    <r>
      <rPr>
        <sz val="10.5"/>
        <rFont val="微软雅黑"/>
        <family val="0"/>
        <charset val="1"/>
      </rPr>
      <t xml:space="preserve">)</t>
    </r>
  </si>
  <si>
    <t xml:space="preserve">HZ20260731-02</t>
  </si>
  <si>
    <t xml:space="preserve">收款方式</t>
  </si>
  <si>
    <t xml:space="preserve">微信</t>
  </si>
  <si>
    <r>
      <rPr>
        <sz val="10.5"/>
        <rFont val="WenQuanYi Zen Hei"/>
        <family val="2"/>
      </rPr>
      <t xml:space="preserve">示例行</t>
    </r>
    <r>
      <rPr>
        <sz val="10.5"/>
        <rFont val="微软雅黑"/>
        <family val="0"/>
        <charset val="1"/>
      </rPr>
      <t xml:space="preserve">,</t>
    </r>
    <r>
      <rPr>
        <sz val="10.5"/>
        <rFont val="WenQuanYi Zen Hei"/>
        <family val="2"/>
      </rPr>
      <t xml:space="preserve">可删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还上期部分欠款</t>
    </r>
    <r>
      <rPr>
        <sz val="10.5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</si>
  <si>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客户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</si>
  <si>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期初欠款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手填</t>
    </r>
  </si>
  <si>
    <r>
      <rPr>
        <b val="true"/>
        <sz val="11"/>
        <color rgb="FFFFFFFF"/>
        <rFont val="WenQuanYi Zen Hei"/>
        <family val="2"/>
      </rPr>
      <t xml:space="preserve">本期送货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自动</t>
    </r>
  </si>
  <si>
    <r>
      <rPr>
        <b val="true"/>
        <sz val="11"/>
        <color rgb="FFFFFFFF"/>
        <rFont val="WenQuanYi Zen Hei"/>
        <family val="2"/>
      </rPr>
      <t xml:space="preserve">本期已收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自动</t>
    </r>
  </si>
  <si>
    <r>
      <rPr>
        <b val="true"/>
        <sz val="11"/>
        <color rgb="FFFFFFFF"/>
        <rFont val="WenQuanYi Zen Hei"/>
        <family val="2"/>
      </rPr>
      <t xml:space="preserve">期末应收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自动</t>
    </r>
  </si>
  <si>
    <r>
      <rPr>
        <b val="true"/>
        <sz val="11"/>
        <color rgb="FFFFFFFF"/>
        <rFont val="WenQuanYi Zen Hei"/>
        <family val="2"/>
      </rPr>
      <t xml:space="preserve">信用额度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  <r>
      <rPr>
        <b val="true"/>
        <sz val="11"/>
        <color rgb="FFFFFFFF"/>
        <rFont val="WenQuanYi Zen Hei"/>
        <family val="2"/>
      </rPr>
      <t xml:space="preserve">自动</t>
    </r>
  </si>
  <si>
    <t xml:space="preserve">提醒</t>
  </si>
  <si>
    <r>
      <rPr>
        <b val="true"/>
        <sz val="11"/>
        <color rgb="FFFFFFFF"/>
        <rFont val="WenQuanYi Zen Hei"/>
        <family val="2"/>
      </rPr>
      <t xml:space="preserve">品名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</si>
  <si>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规格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</si>
  <si>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单位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</si>
  <si>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期初库存 手填</t>
  </si>
  <si>
    <r>
      <rPr>
        <b val="true"/>
        <sz val="11"/>
        <color rgb="FFFFFFFF"/>
        <rFont val="WenQuanYi Zen Hei"/>
        <family val="2"/>
      </rPr>
      <t xml:space="preserve">本期采购入库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</si>
  <si>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本期销售出库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</si>
  <si>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当前库存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</si>
  <si>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安全库存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自动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</si>
  <si>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补货提醒</t>
  </si>
  <si>
    <r>
      <rPr>
        <b val="true"/>
        <sz val="14"/>
        <rFont val="WenQuanYi Zen Hei"/>
        <family val="2"/>
      </rPr>
      <t xml:space="preserve">中山店铺 </t>
    </r>
    <r>
      <rPr>
        <b val="true"/>
        <sz val="14"/>
        <rFont val="微软雅黑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月度汇总</t>
    </r>
  </si>
  <si>
    <r>
      <rPr>
        <b val="true"/>
        <sz val="11"/>
        <rFont val="WenQuanYi Zen Hei"/>
        <family val="2"/>
      </rPr>
      <t xml:space="preserve">本月销售额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按回执</t>
    </r>
    <r>
      <rPr>
        <b val="true"/>
        <sz val="11"/>
        <rFont val="微软雅黑"/>
        <family val="0"/>
        <charset val="1"/>
      </rPr>
      <t xml:space="preserve">)</t>
    </r>
  </si>
  <si>
    <r>
      <rPr>
        <sz val="10"/>
        <color rgb="FF808080"/>
        <rFont val="WenQuanYi Zen Hei"/>
        <family val="2"/>
      </rPr>
      <t xml:space="preserve">以送货回执登记为准</t>
    </r>
    <r>
      <rPr>
        <sz val="10"/>
        <color rgb="FF808080"/>
        <rFont val="微软雅黑"/>
        <family val="0"/>
        <charset val="1"/>
      </rPr>
      <t xml:space="preserve">,</t>
    </r>
    <r>
      <rPr>
        <sz val="10"/>
        <color rgb="FF808080"/>
        <rFont val="WenQuanYi Zen Hei"/>
        <family val="2"/>
      </rPr>
      <t xml:space="preserve">是收入的口径</t>
    </r>
  </si>
  <si>
    <r>
      <rPr>
        <b val="true"/>
        <sz val="11"/>
        <rFont val="WenQuanYi Zen Hei"/>
        <family val="2"/>
      </rPr>
      <t xml:space="preserve">本月销售额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按订单</t>
    </r>
    <r>
      <rPr>
        <b val="true"/>
        <sz val="11"/>
        <rFont val="微软雅黑"/>
        <family val="0"/>
        <charset val="1"/>
      </rPr>
      <t xml:space="preserve">,</t>
    </r>
    <r>
      <rPr>
        <b val="true"/>
        <sz val="11"/>
        <rFont val="WenQuanYi Zen Hei"/>
        <family val="2"/>
      </rPr>
      <t xml:space="preserve">参考</t>
    </r>
    <r>
      <rPr>
        <b val="true"/>
        <sz val="11"/>
        <rFont val="微软雅黑"/>
        <family val="0"/>
        <charset val="1"/>
      </rPr>
      <t xml:space="preserve">)</t>
    </r>
  </si>
  <si>
    <t xml:space="preserve">与上行差距大说明有单没送或回执没登记</t>
  </si>
  <si>
    <t xml:space="preserve">本月采购额</t>
  </si>
  <si>
    <t xml:space="preserve">本月已收款</t>
  </si>
  <si>
    <t xml:space="preserve">含现结当场收的钱</t>
  </si>
  <si>
    <r>
      <rPr>
        <b val="true"/>
        <sz val="11"/>
        <rFont val="WenQuanYi Zen Hei"/>
        <family val="2"/>
      </rPr>
      <t xml:space="preserve">当前欠款总额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总应收</t>
    </r>
    <r>
      <rPr>
        <b val="true"/>
        <sz val="11"/>
        <rFont val="微软雅黑"/>
        <family val="0"/>
        <charset val="1"/>
      </rPr>
      <t xml:space="preserve">)</t>
    </r>
  </si>
  <si>
    <r>
      <rPr>
        <sz val="10"/>
        <color rgb="FF808080"/>
        <rFont val="WenQuanYi Zen Hei"/>
        <family val="2"/>
      </rPr>
      <t xml:space="preserve">这是压在外面的钱</t>
    </r>
    <r>
      <rPr>
        <sz val="10"/>
        <color rgb="FF808080"/>
        <rFont val="微软雅黑"/>
        <family val="0"/>
        <charset val="1"/>
      </rPr>
      <t xml:space="preserve">,</t>
    </r>
    <r>
      <rPr>
        <sz val="10"/>
        <color rgb="FF808080"/>
        <rFont val="WenQuanYi Zen Hei"/>
        <family val="2"/>
      </rPr>
      <t xml:space="preserve">盯紧它</t>
    </r>
  </si>
  <si>
    <r>
      <rPr>
        <b val="true"/>
        <sz val="11"/>
        <rFont val="WenQuanYi Zen Hei"/>
        <family val="2"/>
      </rPr>
      <t xml:space="preserve">本月毛利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粗估</t>
    </r>
    <r>
      <rPr>
        <b val="true"/>
        <sz val="11"/>
        <rFont val="微软雅黑"/>
        <family val="0"/>
        <charset val="1"/>
      </rPr>
      <t xml:space="preserve">)</t>
    </r>
  </si>
  <si>
    <r>
      <rPr>
        <sz val="10"/>
        <color rgb="FF808080"/>
        <rFont val="WenQuanYi Zen Hei"/>
        <family val="2"/>
      </rPr>
      <t xml:space="preserve">销售</t>
    </r>
    <r>
      <rPr>
        <sz val="10"/>
        <color rgb="FF808080"/>
        <rFont val="微软雅黑"/>
        <family val="0"/>
        <charset val="1"/>
      </rPr>
      <t xml:space="preserve">-</t>
    </r>
    <r>
      <rPr>
        <sz val="10"/>
        <color rgb="FF808080"/>
        <rFont val="WenQuanYi Zen Hei"/>
        <family val="2"/>
      </rPr>
      <t xml:space="preserve">采购的粗估口径</t>
    </r>
    <r>
      <rPr>
        <sz val="10"/>
        <color rgb="FF808080"/>
        <rFont val="微软雅黑"/>
        <family val="0"/>
        <charset val="1"/>
      </rPr>
      <t xml:space="preserve">,</t>
    </r>
    <r>
      <rPr>
        <sz val="10"/>
        <color rgb="FF808080"/>
        <rFont val="WenQuanYi Zen Hei"/>
        <family val="2"/>
      </rPr>
      <t xml:space="preserve">没扣库存变化</t>
    </r>
    <r>
      <rPr>
        <sz val="10"/>
        <color rgb="FF808080"/>
        <rFont val="微软雅黑"/>
        <family val="0"/>
        <charset val="1"/>
      </rPr>
      <t xml:space="preserve">,</t>
    </r>
    <r>
      <rPr>
        <sz val="10"/>
        <color rgb="FF808080"/>
        <rFont val="WenQuanYi Zen Hei"/>
        <family val="2"/>
      </rPr>
      <t xml:space="preserve">只作参考</t>
    </r>
  </si>
  <si>
    <r>
      <rPr>
        <b val="true"/>
        <sz val="11"/>
        <rFont val="WenQuanYi Zen Hei"/>
        <family val="2"/>
      </rPr>
      <t xml:space="preserve">本月费用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手填</t>
    </r>
    <r>
      <rPr>
        <b val="true"/>
        <sz val="11"/>
        <rFont val="微软雅黑"/>
        <family val="0"/>
        <charset val="1"/>
      </rPr>
      <t xml:space="preserve">):</t>
    </r>
  </si>
  <si>
    <r>
      <rPr>
        <sz val="10.5"/>
        <rFont val="WenQuanYi Zen Hei"/>
        <family val="2"/>
      </rPr>
      <t xml:space="preserve">  油费</t>
    </r>
    <r>
      <rPr>
        <sz val="10.5"/>
        <rFont val="微软雅黑"/>
        <family val="0"/>
        <charset val="1"/>
      </rPr>
      <t xml:space="preserve">/</t>
    </r>
    <r>
      <rPr>
        <sz val="10.5"/>
        <rFont val="WenQuanYi Zen Hei"/>
        <family val="2"/>
      </rPr>
      <t xml:space="preserve">车费</t>
    </r>
  </si>
  <si>
    <t xml:space="preserve">手填</t>
  </si>
  <si>
    <r>
      <rPr>
        <sz val="10.5"/>
        <rFont val="WenQuanYi Zen Hei"/>
        <family val="2"/>
      </rPr>
      <t xml:space="preserve">  房租</t>
    </r>
    <r>
      <rPr>
        <sz val="10.5"/>
        <rFont val="微软雅黑"/>
        <family val="0"/>
        <charset val="1"/>
      </rPr>
      <t xml:space="preserve">(</t>
    </r>
    <r>
      <rPr>
        <sz val="10.5"/>
        <rFont val="WenQuanYi Zen Hei"/>
        <family val="2"/>
      </rPr>
      <t xml:space="preserve">摊到本月</t>
    </r>
    <r>
      <rPr>
        <sz val="10.5"/>
        <rFont val="微软雅黑"/>
        <family val="0"/>
        <charset val="1"/>
      </rPr>
      <t xml:space="preserve">)</t>
    </r>
  </si>
  <si>
    <t xml:space="preserve">  人工工资</t>
  </si>
  <si>
    <t xml:space="preserve">  其他费用</t>
  </si>
  <si>
    <t xml:space="preserve">费用合计</t>
  </si>
  <si>
    <r>
      <rPr>
        <b val="true"/>
        <sz val="11"/>
        <rFont val="WenQuanYi Zen Hei"/>
        <family val="2"/>
      </rPr>
      <t xml:space="preserve">本月净利</t>
    </r>
    <r>
      <rPr>
        <b val="true"/>
        <sz val="11"/>
        <rFont val="微软雅黑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粗估</t>
    </r>
    <r>
      <rPr>
        <b val="true"/>
        <sz val="11"/>
        <rFont val="微软雅黑"/>
        <family val="0"/>
        <charset val="1"/>
      </rPr>
      <t xml:space="preserve">)</t>
    </r>
  </si>
  <si>
    <r>
      <rPr>
        <sz val="10"/>
        <color rgb="FF808080"/>
        <rFont val="WenQuanYi Zen Hei"/>
        <family val="2"/>
      </rPr>
      <t xml:space="preserve">毛利</t>
    </r>
    <r>
      <rPr>
        <sz val="10"/>
        <color rgb="FF808080"/>
        <rFont val="微软雅黑"/>
        <family val="0"/>
        <charset val="1"/>
      </rPr>
      <t xml:space="preserve">-</t>
    </r>
    <r>
      <rPr>
        <sz val="10"/>
        <color rgb="FF808080"/>
        <rFont val="WenQuanYi Zen Hei"/>
        <family val="2"/>
      </rPr>
      <t xml:space="preserve">费用</t>
    </r>
    <r>
      <rPr>
        <sz val="10"/>
        <color rgb="FF808080"/>
        <rFont val="微软雅黑"/>
        <family val="0"/>
        <charset val="1"/>
      </rPr>
      <t xml:space="preserve">,</t>
    </r>
    <r>
      <rPr>
        <sz val="10"/>
        <color rgb="FF808080"/>
        <rFont val="WenQuanYi Zen Hei"/>
        <family val="2"/>
      </rPr>
      <t xml:space="preserve">月底看这个数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</si>
</sst>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微软雅黑"/>
      <family val="0"/>
      <charset val="1"/>
    </font>
    <font>
      <sz val="10.5"/>
      <name val="WenQuanYi Zen Hei"/>
      <family val="2"/>
    </font>
    <font>
      <sz val="10.5"/>
      <name val="微软雅黑"/>
      <family val="0"/>
      <charset val="1"/>
    </font>
    <font>
      <b val="true"/>
      <sz val="11"/>
      <color rgb="FF2F5597"/>
      <name val="WenQuanYi Zen Hei"/>
      <family val="2"/>
    </font>
    <font>
      <b val="true"/>
      <sz val="11"/>
      <color rgb="FF2F5597"/>
      <name val="微软雅黑"/>
      <family val="0"/>
      <charset val="1"/>
    </font>
    <font>
      <sz val="10"/>
      <color rgb="FF808080"/>
      <name val="WenQuanYi Zen Hei"/>
      <family val="2"/>
    </font>
    <font>
      <sz val="10"/>
      <color rgb="FF808080"/>
      <name val="微软雅黑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微软雅黑"/>
      <family val="0"/>
      <charset val="1"/>
    </font>
    <font>
      <b val="true"/>
      <sz val="11"/>
      <name val="WenQuanYi Zen Hei"/>
      <family val="2"/>
    </font>
    <font>
      <b val="true"/>
      <sz val="11"/>
      <name val="微软雅黑"/>
      <family val="0"/>
      <charset val="1"/>
    </font>
    <font>
      <sz val="11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4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6" customFormat="false" ht="15" hidden="false" customHeight="false" outlineLevel="0" collapsed="false">
      <c r="B26" s="2" t="s">
        <v>20</v>
      </c>
    </row>
    <row r="28" customFormat="false" ht="15" hidden="false" customHeight="false" outlineLevel="0" collapsed="false">
      <c r="B2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</row>
    <row r="2" customFormat="false" ht="15" hidden="false" customHeight="false" outlineLevel="0" collapsed="false">
      <c r="A2" s="7" t="s">
        <v>32</v>
      </c>
      <c r="B2" s="8" t="s">
        <v>33</v>
      </c>
      <c r="C2" s="7" t="s">
        <v>34</v>
      </c>
      <c r="D2" s="8" t="s">
        <v>35</v>
      </c>
      <c r="E2" s="9" t="n">
        <v>45</v>
      </c>
      <c r="F2" s="9" t="n">
        <v>55</v>
      </c>
      <c r="G2" s="8" t="s">
        <v>36</v>
      </c>
      <c r="H2" s="8" t="n">
        <v>18</v>
      </c>
      <c r="I2" s="8" t="n">
        <v>10</v>
      </c>
      <c r="J2" s="8" t="s">
        <v>37</v>
      </c>
    </row>
    <row r="3" customFormat="false" ht="15" hidden="false" customHeight="false" outlineLevel="0" collapsed="false">
      <c r="A3" s="7" t="s">
        <v>38</v>
      </c>
      <c r="B3" s="8" t="s">
        <v>39</v>
      </c>
      <c r="C3" s="7" t="s">
        <v>40</v>
      </c>
      <c r="D3" s="8" t="s">
        <v>41</v>
      </c>
      <c r="E3" s="9" t="n">
        <v>28</v>
      </c>
      <c r="F3" s="9" t="n">
        <v>35</v>
      </c>
      <c r="G3" s="8" t="s">
        <v>36</v>
      </c>
      <c r="H3" s="8" t="n">
        <v>24</v>
      </c>
      <c r="I3" s="8" t="n">
        <v>8</v>
      </c>
      <c r="J3" s="8" t="s">
        <v>37</v>
      </c>
    </row>
    <row r="4" customFormat="false" ht="15" hidden="false" customHeight="false" outlineLevel="0" collapsed="false">
      <c r="A4" s="7" t="s">
        <v>42</v>
      </c>
      <c r="B4" s="8" t="s">
        <v>43</v>
      </c>
      <c r="C4" s="7" t="s">
        <v>44</v>
      </c>
      <c r="D4" s="8" t="s">
        <v>45</v>
      </c>
      <c r="E4" s="9" t="n">
        <v>22</v>
      </c>
      <c r="F4" s="9" t="n">
        <v>30</v>
      </c>
      <c r="G4" s="8" t="s">
        <v>46</v>
      </c>
      <c r="H4" s="8" t="n">
        <v>12</v>
      </c>
      <c r="I4" s="8" t="n">
        <v>5</v>
      </c>
      <c r="J4" s="8" t="s">
        <v>37</v>
      </c>
    </row>
    <row r="5" customFormat="false" ht="15" hidden="false" customHeight="false" outlineLevel="0" collapsed="false">
      <c r="A5" s="7" t="s">
        <v>47</v>
      </c>
      <c r="B5" s="8" t="s">
        <v>48</v>
      </c>
      <c r="C5" s="7" t="s">
        <v>49</v>
      </c>
      <c r="D5" s="8" t="s">
        <v>35</v>
      </c>
      <c r="E5" s="9" t="n">
        <v>115</v>
      </c>
      <c r="F5" s="9" t="n">
        <v>130</v>
      </c>
      <c r="G5" s="8" t="s">
        <v>50</v>
      </c>
      <c r="H5" s="8" t="n">
        <v>12</v>
      </c>
      <c r="I5" s="8" t="n">
        <v>6</v>
      </c>
      <c r="J5" s="8" t="s">
        <v>37</v>
      </c>
    </row>
    <row r="6" customFormat="false" ht="15" hidden="false" customHeight="false" outlineLevel="0" collapsed="false">
      <c r="A6" s="7" t="s">
        <v>51</v>
      </c>
      <c r="B6" s="8" t="s">
        <v>52</v>
      </c>
      <c r="C6" s="7" t="s">
        <v>53</v>
      </c>
      <c r="D6" s="8" t="s">
        <v>45</v>
      </c>
      <c r="E6" s="9" t="n">
        <v>82</v>
      </c>
      <c r="F6" s="9" t="n">
        <v>95</v>
      </c>
      <c r="G6" s="8" t="s">
        <v>50</v>
      </c>
      <c r="H6" s="8" t="n">
        <v>6</v>
      </c>
      <c r="I6" s="8" t="n">
        <v>10</v>
      </c>
      <c r="J6" s="8" t="s">
        <v>37</v>
      </c>
    </row>
    <row r="7" customFormat="false" ht="15" hidden="false" customHeight="false" outlineLevel="0" collapsed="false">
      <c r="A7" s="10"/>
      <c r="B7" s="10"/>
      <c r="C7" s="10"/>
      <c r="D7" s="10"/>
      <c r="E7" s="11"/>
      <c r="F7" s="11"/>
      <c r="G7" s="10"/>
      <c r="H7" s="10"/>
      <c r="I7" s="10"/>
      <c r="J7" s="10"/>
    </row>
    <row r="8" customFormat="false" ht="15" hidden="false" customHeight="false" outlineLevel="0" collapsed="false">
      <c r="A8" s="10"/>
      <c r="B8" s="10"/>
      <c r="C8" s="10"/>
      <c r="D8" s="10"/>
      <c r="E8" s="11"/>
      <c r="F8" s="11"/>
      <c r="G8" s="10"/>
      <c r="H8" s="10"/>
      <c r="I8" s="10"/>
      <c r="J8" s="10"/>
    </row>
    <row r="9" customFormat="false" ht="15" hidden="false" customHeight="false" outlineLevel="0" collapsed="false">
      <c r="A9" s="10"/>
      <c r="B9" s="10"/>
      <c r="C9" s="10"/>
      <c r="D9" s="10"/>
      <c r="E9" s="11"/>
      <c r="F9" s="11"/>
      <c r="G9" s="10"/>
      <c r="H9" s="10"/>
      <c r="I9" s="10"/>
      <c r="J9" s="10"/>
    </row>
    <row r="10" customFormat="false" ht="15" hidden="false" customHeight="false" outlineLevel="0" collapsed="false">
      <c r="A10" s="10"/>
      <c r="B10" s="10"/>
      <c r="C10" s="10"/>
      <c r="D10" s="10"/>
      <c r="E10" s="11"/>
      <c r="F10" s="11"/>
      <c r="G10" s="10"/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1"/>
      <c r="F11" s="11"/>
      <c r="G11" s="10"/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1"/>
      <c r="F12" s="11"/>
      <c r="G12" s="10"/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1"/>
      <c r="F13" s="11"/>
      <c r="G13" s="10"/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1"/>
      <c r="F14" s="11"/>
      <c r="G14" s="10"/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1"/>
      <c r="F15" s="11"/>
      <c r="G15" s="10"/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1"/>
      <c r="F16" s="11"/>
      <c r="G16" s="10"/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1"/>
      <c r="F17" s="11"/>
      <c r="G17" s="10"/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1"/>
      <c r="F18" s="11"/>
      <c r="G18" s="10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1"/>
      <c r="F19" s="11"/>
      <c r="G19" s="10"/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1"/>
      <c r="F20" s="11"/>
      <c r="G20" s="10"/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1"/>
      <c r="F21" s="11"/>
      <c r="G21" s="10"/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1"/>
      <c r="F22" s="11"/>
      <c r="G22" s="10"/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1"/>
      <c r="F23" s="11"/>
      <c r="G23" s="10"/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1"/>
      <c r="F24" s="11"/>
      <c r="G24" s="10"/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1"/>
      <c r="F25" s="11"/>
      <c r="G25" s="10"/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1"/>
      <c r="F26" s="11"/>
      <c r="G26" s="10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11"/>
      <c r="G27" s="10"/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1"/>
      <c r="F28" s="11"/>
      <c r="G28" s="10"/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11"/>
      <c r="G29" s="10"/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1"/>
      <c r="F30" s="11"/>
      <c r="G30" s="10"/>
      <c r="H30" s="10"/>
      <c r="I30" s="10"/>
      <c r="J30" s="10"/>
    </row>
    <row r="31" customFormat="false" ht="15" hidden="false" customHeight="false" outlineLevel="0" collapsed="false">
      <c r="A31" s="10"/>
      <c r="B31" s="10"/>
      <c r="C31" s="10"/>
      <c r="D31" s="10"/>
      <c r="E31" s="11"/>
      <c r="F31" s="11"/>
      <c r="G31" s="10"/>
      <c r="H31" s="10"/>
      <c r="I31" s="10"/>
      <c r="J31" s="10"/>
    </row>
    <row r="32" customFormat="false" ht="15" hidden="false" customHeight="false" outlineLevel="0" collapsed="false">
      <c r="A32" s="10"/>
      <c r="B32" s="10"/>
      <c r="C32" s="10"/>
      <c r="D32" s="10"/>
      <c r="E32" s="11"/>
      <c r="F32" s="11"/>
      <c r="G32" s="10"/>
      <c r="H32" s="10"/>
      <c r="I32" s="10"/>
      <c r="J32" s="10"/>
    </row>
    <row r="33" customFormat="false" ht="15" hidden="false" customHeight="false" outlineLevel="0" collapsed="false">
      <c r="A33" s="10"/>
      <c r="B33" s="10"/>
      <c r="C33" s="10"/>
      <c r="D33" s="10"/>
      <c r="E33" s="11"/>
      <c r="F33" s="11"/>
      <c r="G33" s="10"/>
      <c r="H33" s="10"/>
      <c r="I33" s="10"/>
      <c r="J33" s="10"/>
    </row>
    <row r="34" customFormat="false" ht="15" hidden="false" customHeight="false" outlineLevel="0" collapsed="false">
      <c r="A34" s="10"/>
      <c r="B34" s="10"/>
      <c r="C34" s="10"/>
      <c r="D34" s="10"/>
      <c r="E34" s="11"/>
      <c r="F34" s="11"/>
      <c r="G34" s="10"/>
      <c r="H34" s="10"/>
      <c r="I34" s="10"/>
      <c r="J34" s="10"/>
    </row>
    <row r="35" customFormat="false" ht="15" hidden="false" customHeight="false" outlineLevel="0" collapsed="false">
      <c r="A35" s="10"/>
      <c r="B35" s="10"/>
      <c r="C35" s="10"/>
      <c r="D35" s="10"/>
      <c r="E35" s="11"/>
      <c r="F35" s="11"/>
      <c r="G35" s="10"/>
      <c r="H35" s="10"/>
      <c r="I35" s="10"/>
      <c r="J35" s="10"/>
    </row>
    <row r="36" customFormat="false" ht="15" hidden="false" customHeight="false" outlineLevel="0" collapsed="false">
      <c r="A36" s="10"/>
      <c r="B36" s="10"/>
      <c r="C36" s="10"/>
      <c r="D36" s="10"/>
      <c r="E36" s="11"/>
      <c r="F36" s="11"/>
      <c r="G36" s="10"/>
      <c r="H36" s="10"/>
      <c r="I36" s="10"/>
      <c r="J36" s="10"/>
    </row>
    <row r="37" customFormat="false" ht="15" hidden="false" customHeight="false" outlineLevel="0" collapsed="false">
      <c r="A37" s="10"/>
      <c r="B37" s="10"/>
      <c r="C37" s="10"/>
      <c r="D37" s="10"/>
      <c r="E37" s="11"/>
      <c r="F37" s="11"/>
      <c r="G37" s="10"/>
      <c r="H37" s="10"/>
      <c r="I37" s="10"/>
      <c r="J37" s="10"/>
    </row>
    <row r="38" customFormat="false" ht="15" hidden="false" customHeight="false" outlineLevel="0" collapsed="false">
      <c r="A38" s="10"/>
      <c r="B38" s="10"/>
      <c r="C38" s="10"/>
      <c r="D38" s="10"/>
      <c r="E38" s="11"/>
      <c r="F38" s="11"/>
      <c r="G38" s="10"/>
      <c r="H38" s="10"/>
      <c r="I38" s="10"/>
      <c r="J38" s="10"/>
    </row>
    <row r="39" customFormat="false" ht="15" hidden="false" customHeight="false" outlineLevel="0" collapsed="false">
      <c r="A39" s="10"/>
      <c r="B39" s="10"/>
      <c r="C39" s="10"/>
      <c r="D39" s="10"/>
      <c r="E39" s="11"/>
      <c r="F39" s="11"/>
      <c r="G39" s="10"/>
      <c r="H39" s="10"/>
      <c r="I39" s="10"/>
      <c r="J39" s="10"/>
    </row>
    <row r="40" customFormat="false" ht="15" hidden="false" customHeight="false" outlineLevel="0" collapsed="false">
      <c r="A40" s="10"/>
      <c r="B40" s="10"/>
      <c r="C40" s="10"/>
      <c r="D40" s="10"/>
      <c r="E40" s="11"/>
      <c r="F40" s="11"/>
      <c r="G40" s="10"/>
      <c r="H40" s="10"/>
      <c r="I40" s="10"/>
      <c r="J40" s="10"/>
    </row>
    <row r="41" customFormat="false" ht="15" hidden="false" customHeight="false" outlineLevel="0" collapsed="false">
      <c r="A41" s="10"/>
      <c r="B41" s="10"/>
      <c r="C41" s="10"/>
      <c r="D41" s="10"/>
      <c r="E41" s="11"/>
      <c r="F41" s="11"/>
      <c r="G41" s="10"/>
      <c r="H41" s="10"/>
      <c r="I41" s="10"/>
      <c r="J41" s="10"/>
    </row>
    <row r="42" customFormat="false" ht="15" hidden="false" customHeight="false" outlineLevel="0" collapsed="false">
      <c r="A42" s="10"/>
      <c r="B42" s="10"/>
      <c r="C42" s="10"/>
      <c r="D42" s="10"/>
      <c r="E42" s="11"/>
      <c r="F42" s="11"/>
      <c r="G42" s="10"/>
      <c r="H42" s="10"/>
      <c r="I42" s="10"/>
      <c r="J42" s="10"/>
    </row>
    <row r="43" customFormat="false" ht="15" hidden="false" customHeight="false" outlineLevel="0" collapsed="false">
      <c r="A43" s="10"/>
      <c r="B43" s="10"/>
      <c r="C43" s="10"/>
      <c r="D43" s="10"/>
      <c r="E43" s="11"/>
      <c r="F43" s="11"/>
      <c r="G43" s="10"/>
      <c r="H43" s="10"/>
      <c r="I43" s="10"/>
      <c r="J43" s="10"/>
    </row>
    <row r="44" customFormat="false" ht="15" hidden="false" customHeight="false" outlineLevel="0" collapsed="false">
      <c r="A44" s="10"/>
      <c r="B44" s="10"/>
      <c r="C44" s="10"/>
      <c r="D44" s="10"/>
      <c r="E44" s="11"/>
      <c r="F44" s="11"/>
      <c r="G44" s="10"/>
      <c r="H44" s="10"/>
      <c r="I44" s="10"/>
      <c r="J44" s="10"/>
    </row>
    <row r="45" customFormat="false" ht="15" hidden="false" customHeight="false" outlineLevel="0" collapsed="false">
      <c r="A45" s="10"/>
      <c r="B45" s="10"/>
      <c r="C45" s="10"/>
      <c r="D45" s="10"/>
      <c r="E45" s="11"/>
      <c r="F45" s="11"/>
      <c r="G45" s="10"/>
      <c r="H45" s="10"/>
      <c r="I45" s="10"/>
      <c r="J45" s="10"/>
    </row>
    <row r="46" customFormat="false" ht="15" hidden="false" customHeight="false" outlineLevel="0" collapsed="false">
      <c r="A46" s="10"/>
      <c r="B46" s="10"/>
      <c r="C46" s="10"/>
      <c r="D46" s="10"/>
      <c r="E46" s="11"/>
      <c r="F46" s="11"/>
      <c r="G46" s="10"/>
      <c r="H46" s="10"/>
      <c r="I46" s="10"/>
      <c r="J46" s="10"/>
    </row>
    <row r="47" customFormat="false" ht="15" hidden="false" customHeight="false" outlineLevel="0" collapsed="false">
      <c r="A47" s="10"/>
      <c r="B47" s="10"/>
      <c r="C47" s="10"/>
      <c r="D47" s="10"/>
      <c r="E47" s="11"/>
      <c r="F47" s="11"/>
      <c r="G47" s="10"/>
      <c r="H47" s="10"/>
      <c r="I47" s="10"/>
      <c r="J47" s="10"/>
    </row>
    <row r="48" customFormat="false" ht="15" hidden="false" customHeight="false" outlineLevel="0" collapsed="false">
      <c r="A48" s="10"/>
      <c r="B48" s="10"/>
      <c r="C48" s="10"/>
      <c r="D48" s="10"/>
      <c r="E48" s="11"/>
      <c r="F48" s="11"/>
      <c r="G48" s="10"/>
      <c r="H48" s="10"/>
      <c r="I48" s="10"/>
      <c r="J48" s="10"/>
    </row>
    <row r="49" customFormat="false" ht="15" hidden="false" customHeight="false" outlineLevel="0" collapsed="false">
      <c r="A49" s="10"/>
      <c r="B49" s="10"/>
      <c r="C49" s="10"/>
      <c r="D49" s="10"/>
      <c r="E49" s="11"/>
      <c r="F49" s="11"/>
      <c r="G49" s="10"/>
      <c r="H49" s="10"/>
      <c r="I49" s="10"/>
      <c r="J49" s="10"/>
    </row>
    <row r="50" customFormat="false" ht="15" hidden="false" customHeight="false" outlineLevel="0" collapsed="false">
      <c r="A50" s="10"/>
      <c r="B50" s="10"/>
      <c r="C50" s="10"/>
      <c r="D50" s="10"/>
      <c r="E50" s="11"/>
      <c r="F50" s="11"/>
      <c r="G50" s="10"/>
      <c r="H50" s="10"/>
      <c r="I50" s="10"/>
      <c r="J50" s="10"/>
    </row>
    <row r="51" customFormat="false" ht="15" hidden="false" customHeight="false" outlineLevel="0" collapsed="false">
      <c r="A51" s="10"/>
      <c r="B51" s="10"/>
      <c r="C51" s="10"/>
      <c r="D51" s="10"/>
      <c r="E51" s="11"/>
      <c r="F51" s="11"/>
      <c r="G51" s="10"/>
      <c r="H51" s="10"/>
      <c r="I51" s="10"/>
      <c r="J51" s="10"/>
    </row>
    <row r="52" customFormat="false" ht="15" hidden="false" customHeight="false" outlineLevel="0" collapsed="false">
      <c r="A52" s="10"/>
      <c r="B52" s="10"/>
      <c r="C52" s="10"/>
      <c r="D52" s="10"/>
      <c r="E52" s="11"/>
      <c r="F52" s="11"/>
      <c r="G52" s="10"/>
      <c r="H52" s="10"/>
      <c r="I52" s="10"/>
      <c r="J52" s="10"/>
    </row>
    <row r="53" customFormat="false" ht="15" hidden="false" customHeight="false" outlineLevel="0" collapsed="false">
      <c r="A53" s="10"/>
      <c r="B53" s="10"/>
      <c r="C53" s="10"/>
      <c r="D53" s="10"/>
      <c r="E53" s="11"/>
      <c r="F53" s="11"/>
      <c r="G53" s="10"/>
      <c r="H53" s="10"/>
      <c r="I53" s="10"/>
      <c r="J53" s="10"/>
    </row>
    <row r="54" customFormat="false" ht="15" hidden="false" customHeight="false" outlineLevel="0" collapsed="false">
      <c r="A54" s="10"/>
      <c r="B54" s="10"/>
      <c r="C54" s="10"/>
      <c r="D54" s="10"/>
      <c r="E54" s="11"/>
      <c r="F54" s="11"/>
      <c r="G54" s="10"/>
      <c r="H54" s="10"/>
      <c r="I54" s="10"/>
      <c r="J54" s="10"/>
    </row>
    <row r="55" customFormat="false" ht="15" hidden="false" customHeight="false" outlineLevel="0" collapsed="false">
      <c r="A55" s="10"/>
      <c r="B55" s="10"/>
      <c r="C55" s="10"/>
      <c r="D55" s="10"/>
      <c r="E55" s="11"/>
      <c r="F55" s="11"/>
      <c r="G55" s="10"/>
      <c r="H55" s="10"/>
      <c r="I55" s="10"/>
      <c r="J55" s="10"/>
    </row>
    <row r="56" customFormat="false" ht="15" hidden="false" customHeight="false" outlineLevel="0" collapsed="false">
      <c r="A56" s="10"/>
      <c r="B56" s="10"/>
      <c r="C56" s="10"/>
      <c r="D56" s="10"/>
      <c r="E56" s="11"/>
      <c r="F56" s="11"/>
      <c r="G56" s="10"/>
      <c r="H56" s="10"/>
      <c r="I56" s="10"/>
      <c r="J56" s="10"/>
    </row>
    <row r="57" customFormat="false" ht="15" hidden="false" customHeight="false" outlineLevel="0" collapsed="false">
      <c r="A57" s="10"/>
      <c r="B57" s="10"/>
      <c r="C57" s="10"/>
      <c r="D57" s="10"/>
      <c r="E57" s="11"/>
      <c r="F57" s="11"/>
      <c r="G57" s="10"/>
      <c r="H57" s="10"/>
      <c r="I57" s="10"/>
      <c r="J57" s="10"/>
    </row>
    <row r="58" customFormat="false" ht="15" hidden="false" customHeight="false" outlineLevel="0" collapsed="false">
      <c r="A58" s="10"/>
      <c r="B58" s="10"/>
      <c r="C58" s="10"/>
      <c r="D58" s="10"/>
      <c r="E58" s="11"/>
      <c r="F58" s="11"/>
      <c r="G58" s="10"/>
      <c r="H58" s="10"/>
      <c r="I58" s="10"/>
      <c r="J58" s="10"/>
    </row>
    <row r="59" customFormat="false" ht="15" hidden="false" customHeight="false" outlineLevel="0" collapsed="false">
      <c r="A59" s="10"/>
      <c r="B59" s="10"/>
      <c r="C59" s="10"/>
      <c r="D59" s="10"/>
      <c r="E59" s="11"/>
      <c r="F59" s="11"/>
      <c r="G59" s="10"/>
      <c r="H59" s="10"/>
      <c r="I59" s="10"/>
      <c r="J59" s="10"/>
    </row>
    <row r="60" customFormat="false" ht="15" hidden="false" customHeight="false" outlineLevel="0" collapsed="false">
      <c r="A60" s="10"/>
      <c r="B60" s="10"/>
      <c r="C60" s="10"/>
      <c r="D60" s="10"/>
      <c r="E60" s="11"/>
      <c r="F60" s="11"/>
      <c r="G60" s="10"/>
      <c r="H60" s="10"/>
      <c r="I60" s="10"/>
      <c r="J60" s="10"/>
    </row>
    <row r="61" customFormat="false" ht="15" hidden="false" customHeight="false" outlineLevel="0" collapsed="false">
      <c r="A61" s="10"/>
      <c r="B61" s="10"/>
      <c r="C61" s="10"/>
      <c r="D61" s="10"/>
      <c r="E61" s="11"/>
      <c r="F61" s="11"/>
      <c r="G61" s="10"/>
      <c r="H61" s="10"/>
      <c r="I61" s="10"/>
      <c r="J61" s="10"/>
    </row>
    <row r="62" customFormat="false" ht="15" hidden="false" customHeight="false" outlineLevel="0" collapsed="false">
      <c r="A62" s="10"/>
      <c r="B62" s="10"/>
      <c r="C62" s="10"/>
      <c r="D62" s="10"/>
      <c r="E62" s="11"/>
      <c r="F62" s="11"/>
      <c r="G62" s="10"/>
      <c r="H62" s="10"/>
      <c r="I62" s="10"/>
      <c r="J62" s="10"/>
    </row>
    <row r="63" customFormat="false" ht="15" hidden="false" customHeight="false" outlineLevel="0" collapsed="false">
      <c r="A63" s="10"/>
      <c r="B63" s="10"/>
      <c r="C63" s="10"/>
      <c r="D63" s="10"/>
      <c r="E63" s="11"/>
      <c r="F63" s="11"/>
      <c r="G63" s="10"/>
      <c r="H63" s="10"/>
      <c r="I63" s="10"/>
      <c r="J63" s="10"/>
    </row>
    <row r="64" customFormat="false" ht="15" hidden="false" customHeight="false" outlineLevel="0" collapsed="false">
      <c r="A64" s="10"/>
      <c r="B64" s="10"/>
      <c r="C64" s="10"/>
      <c r="D64" s="10"/>
      <c r="E64" s="11"/>
      <c r="F64" s="11"/>
      <c r="G64" s="10"/>
      <c r="H64" s="10"/>
      <c r="I64" s="10"/>
      <c r="J64" s="10"/>
    </row>
    <row r="65" customFormat="false" ht="15" hidden="false" customHeight="false" outlineLevel="0" collapsed="false">
      <c r="A65" s="10"/>
      <c r="B65" s="10"/>
      <c r="C65" s="10"/>
      <c r="D65" s="10"/>
      <c r="E65" s="11"/>
      <c r="F65" s="11"/>
      <c r="G65" s="10"/>
      <c r="H65" s="10"/>
      <c r="I65" s="10"/>
      <c r="J65" s="10"/>
    </row>
    <row r="66" customFormat="false" ht="15" hidden="false" customHeight="false" outlineLevel="0" collapsed="false">
      <c r="A66" s="10"/>
      <c r="B66" s="10"/>
      <c r="C66" s="10"/>
      <c r="D66" s="10"/>
      <c r="E66" s="11"/>
      <c r="F66" s="11"/>
      <c r="G66" s="10"/>
      <c r="H66" s="10"/>
      <c r="I66" s="10"/>
      <c r="J66" s="10"/>
    </row>
    <row r="67" customFormat="false" ht="15" hidden="false" customHeight="false" outlineLevel="0" collapsed="false">
      <c r="A67" s="10"/>
      <c r="B67" s="10"/>
      <c r="C67" s="10"/>
      <c r="D67" s="10"/>
      <c r="E67" s="11"/>
      <c r="F67" s="11"/>
      <c r="G67" s="10"/>
      <c r="H67" s="10"/>
      <c r="I67" s="10"/>
      <c r="J67" s="10"/>
    </row>
    <row r="68" customFormat="false" ht="15" hidden="false" customHeight="false" outlineLevel="0" collapsed="false">
      <c r="A68" s="10"/>
      <c r="B68" s="10"/>
      <c r="C68" s="10"/>
      <c r="D68" s="10"/>
      <c r="E68" s="11"/>
      <c r="F68" s="11"/>
      <c r="G68" s="10"/>
      <c r="H68" s="10"/>
      <c r="I68" s="10"/>
      <c r="J68" s="10"/>
    </row>
    <row r="69" customFormat="false" ht="15" hidden="false" customHeight="false" outlineLevel="0" collapsed="false">
      <c r="A69" s="10"/>
      <c r="B69" s="10"/>
      <c r="C69" s="10"/>
      <c r="D69" s="10"/>
      <c r="E69" s="11"/>
      <c r="F69" s="11"/>
      <c r="G69" s="10"/>
      <c r="H69" s="10"/>
      <c r="I69" s="10"/>
      <c r="J69" s="10"/>
    </row>
    <row r="70" customFormat="false" ht="15" hidden="false" customHeight="false" outlineLevel="0" collapsed="false">
      <c r="A70" s="10"/>
      <c r="B70" s="10"/>
      <c r="C70" s="10"/>
      <c r="D70" s="10"/>
      <c r="E70" s="11"/>
      <c r="F70" s="11"/>
      <c r="G70" s="10"/>
      <c r="H70" s="10"/>
      <c r="I70" s="10"/>
      <c r="J70" s="10"/>
    </row>
    <row r="71" customFormat="false" ht="15" hidden="false" customHeight="false" outlineLevel="0" collapsed="false">
      <c r="A71" s="10"/>
      <c r="B71" s="10"/>
      <c r="C71" s="10"/>
      <c r="D71" s="10"/>
      <c r="E71" s="11"/>
      <c r="F71" s="11"/>
      <c r="G71" s="10"/>
      <c r="H71" s="10"/>
      <c r="I71" s="10"/>
      <c r="J71" s="10"/>
    </row>
    <row r="72" customFormat="false" ht="15" hidden="false" customHeight="false" outlineLevel="0" collapsed="false">
      <c r="A72" s="10"/>
      <c r="B72" s="10"/>
      <c r="C72" s="10"/>
      <c r="D72" s="10"/>
      <c r="E72" s="11"/>
      <c r="F72" s="11"/>
      <c r="G72" s="10"/>
      <c r="H72" s="10"/>
      <c r="I72" s="10"/>
      <c r="J72" s="10"/>
    </row>
    <row r="73" customFormat="false" ht="15" hidden="false" customHeight="false" outlineLevel="0" collapsed="false">
      <c r="A73" s="10"/>
      <c r="B73" s="10"/>
      <c r="C73" s="10"/>
      <c r="D73" s="10"/>
      <c r="E73" s="11"/>
      <c r="F73" s="11"/>
      <c r="G73" s="10"/>
      <c r="H73" s="10"/>
      <c r="I73" s="10"/>
      <c r="J73" s="10"/>
    </row>
    <row r="74" customFormat="false" ht="15" hidden="false" customHeight="false" outlineLevel="0" collapsed="false">
      <c r="A74" s="10"/>
      <c r="B74" s="10"/>
      <c r="C74" s="10"/>
      <c r="D74" s="10"/>
      <c r="E74" s="11"/>
      <c r="F74" s="11"/>
      <c r="G74" s="10"/>
      <c r="H74" s="10"/>
      <c r="I74" s="10"/>
      <c r="J74" s="10"/>
    </row>
    <row r="75" customFormat="false" ht="15" hidden="false" customHeight="false" outlineLevel="0" collapsed="false">
      <c r="A75" s="10"/>
      <c r="B75" s="10"/>
      <c r="C75" s="10"/>
      <c r="D75" s="10"/>
      <c r="E75" s="11"/>
      <c r="F75" s="11"/>
      <c r="G75" s="10"/>
      <c r="H75" s="10"/>
      <c r="I75" s="10"/>
      <c r="J75" s="10"/>
    </row>
    <row r="76" customFormat="false" ht="15" hidden="false" customHeight="false" outlineLevel="0" collapsed="false">
      <c r="A76" s="10"/>
      <c r="B76" s="10"/>
      <c r="C76" s="10"/>
      <c r="D76" s="10"/>
      <c r="E76" s="11"/>
      <c r="F76" s="11"/>
      <c r="G76" s="10"/>
      <c r="H76" s="10"/>
      <c r="I76" s="10"/>
      <c r="J76" s="10"/>
    </row>
    <row r="77" customFormat="false" ht="15" hidden="false" customHeight="false" outlineLevel="0" collapsed="false">
      <c r="A77" s="10"/>
      <c r="B77" s="10"/>
      <c r="C77" s="10"/>
      <c r="D77" s="10"/>
      <c r="E77" s="11"/>
      <c r="F77" s="11"/>
      <c r="G77" s="10"/>
      <c r="H77" s="10"/>
      <c r="I77" s="10"/>
      <c r="J77" s="10"/>
    </row>
    <row r="78" customFormat="false" ht="15" hidden="false" customHeight="false" outlineLevel="0" collapsed="false">
      <c r="A78" s="10"/>
      <c r="B78" s="10"/>
      <c r="C78" s="10"/>
      <c r="D78" s="10"/>
      <c r="E78" s="11"/>
      <c r="F78" s="11"/>
      <c r="G78" s="10"/>
      <c r="H78" s="10"/>
      <c r="I78" s="10"/>
      <c r="J78" s="10"/>
    </row>
    <row r="79" customFormat="false" ht="15" hidden="false" customHeight="false" outlineLevel="0" collapsed="false">
      <c r="A79" s="10"/>
      <c r="B79" s="10"/>
      <c r="C79" s="10"/>
      <c r="D79" s="10"/>
      <c r="E79" s="11"/>
      <c r="F79" s="11"/>
      <c r="G79" s="10"/>
      <c r="H79" s="10"/>
      <c r="I79" s="10"/>
      <c r="J79" s="10"/>
    </row>
    <row r="80" customFormat="false" ht="15" hidden="false" customHeight="false" outlineLevel="0" collapsed="false">
      <c r="A80" s="10"/>
      <c r="B80" s="10"/>
      <c r="C80" s="10"/>
      <c r="D80" s="10"/>
      <c r="E80" s="11"/>
      <c r="F80" s="11"/>
      <c r="G80" s="10"/>
      <c r="H80" s="10"/>
      <c r="I80" s="10"/>
      <c r="J80" s="10"/>
    </row>
    <row r="81" customFormat="false" ht="15" hidden="false" customHeight="false" outlineLevel="0" collapsed="false">
      <c r="A81" s="10"/>
      <c r="B81" s="10"/>
      <c r="C81" s="10"/>
      <c r="D81" s="10"/>
      <c r="E81" s="11"/>
      <c r="F81" s="11"/>
      <c r="G81" s="10"/>
      <c r="H81" s="10"/>
      <c r="I81" s="10"/>
      <c r="J81" s="10"/>
    </row>
    <row r="82" customFormat="false" ht="15" hidden="false" customHeight="false" outlineLevel="0" collapsed="false">
      <c r="A82" s="10"/>
      <c r="B82" s="10"/>
      <c r="C82" s="10"/>
      <c r="D82" s="10"/>
      <c r="E82" s="11"/>
      <c r="F82" s="11"/>
      <c r="G82" s="10"/>
      <c r="H82" s="10"/>
      <c r="I82" s="10"/>
      <c r="J82" s="10"/>
    </row>
    <row r="83" customFormat="false" ht="15" hidden="false" customHeight="false" outlineLevel="0" collapsed="false">
      <c r="A83" s="10"/>
      <c r="B83" s="10"/>
      <c r="C83" s="10"/>
      <c r="D83" s="10"/>
      <c r="E83" s="11"/>
      <c r="F83" s="11"/>
      <c r="G83" s="10"/>
      <c r="H83" s="10"/>
      <c r="I83" s="10"/>
      <c r="J83" s="10"/>
    </row>
    <row r="84" customFormat="false" ht="15" hidden="false" customHeight="false" outlineLevel="0" collapsed="false">
      <c r="A84" s="10"/>
      <c r="B84" s="10"/>
      <c r="C84" s="10"/>
      <c r="D84" s="10"/>
      <c r="E84" s="11"/>
      <c r="F84" s="11"/>
      <c r="G84" s="10"/>
      <c r="H84" s="10"/>
      <c r="I84" s="10"/>
      <c r="J84" s="10"/>
    </row>
    <row r="85" customFormat="false" ht="15" hidden="false" customHeight="false" outlineLevel="0" collapsed="false">
      <c r="A85" s="10"/>
      <c r="B85" s="10"/>
      <c r="C85" s="10"/>
      <c r="D85" s="10"/>
      <c r="E85" s="11"/>
      <c r="F85" s="11"/>
      <c r="G85" s="10"/>
      <c r="H85" s="10"/>
      <c r="I85" s="10"/>
      <c r="J85" s="10"/>
    </row>
    <row r="86" customFormat="false" ht="15" hidden="false" customHeight="false" outlineLevel="0" collapsed="false">
      <c r="A86" s="10"/>
      <c r="B86" s="10"/>
      <c r="C86" s="10"/>
      <c r="D86" s="10"/>
      <c r="E86" s="11"/>
      <c r="F86" s="11"/>
      <c r="G86" s="10"/>
      <c r="H86" s="10"/>
      <c r="I86" s="10"/>
      <c r="J86" s="10"/>
    </row>
    <row r="87" customFormat="false" ht="15" hidden="false" customHeight="false" outlineLevel="0" collapsed="false">
      <c r="A87" s="10"/>
      <c r="B87" s="10"/>
      <c r="C87" s="10"/>
      <c r="D87" s="10"/>
      <c r="E87" s="11"/>
      <c r="F87" s="11"/>
      <c r="G87" s="10"/>
      <c r="H87" s="10"/>
      <c r="I87" s="10"/>
      <c r="J87" s="10"/>
    </row>
    <row r="88" customFormat="false" ht="15" hidden="false" customHeight="false" outlineLevel="0" collapsed="false">
      <c r="A88" s="10"/>
      <c r="B88" s="10"/>
      <c r="C88" s="10"/>
      <c r="D88" s="10"/>
      <c r="E88" s="11"/>
      <c r="F88" s="11"/>
      <c r="G88" s="10"/>
      <c r="H88" s="10"/>
      <c r="I88" s="10"/>
      <c r="J88" s="10"/>
    </row>
    <row r="89" customFormat="false" ht="15" hidden="false" customHeight="false" outlineLevel="0" collapsed="false">
      <c r="A89" s="10"/>
      <c r="B89" s="10"/>
      <c r="C89" s="10"/>
      <c r="D89" s="10"/>
      <c r="E89" s="11"/>
      <c r="F89" s="11"/>
      <c r="G89" s="10"/>
      <c r="H89" s="10"/>
      <c r="I89" s="10"/>
      <c r="J89" s="10"/>
    </row>
    <row r="90" customFormat="false" ht="15" hidden="false" customHeight="false" outlineLevel="0" collapsed="false">
      <c r="A90" s="10"/>
      <c r="B90" s="10"/>
      <c r="C90" s="10"/>
      <c r="D90" s="10"/>
      <c r="E90" s="11"/>
      <c r="F90" s="11"/>
      <c r="G90" s="10"/>
      <c r="H90" s="10"/>
      <c r="I90" s="10"/>
      <c r="J90" s="10"/>
    </row>
    <row r="91" customFormat="false" ht="15" hidden="false" customHeight="false" outlineLevel="0" collapsed="false">
      <c r="A91" s="10"/>
      <c r="B91" s="10"/>
      <c r="C91" s="10"/>
      <c r="D91" s="10"/>
      <c r="E91" s="11"/>
      <c r="F91" s="11"/>
      <c r="G91" s="10"/>
      <c r="H91" s="10"/>
      <c r="I91" s="10"/>
      <c r="J91" s="10"/>
    </row>
    <row r="92" customFormat="false" ht="15" hidden="false" customHeight="false" outlineLevel="0" collapsed="false">
      <c r="A92" s="10"/>
      <c r="B92" s="10"/>
      <c r="C92" s="10"/>
      <c r="D92" s="10"/>
      <c r="E92" s="11"/>
      <c r="F92" s="11"/>
      <c r="G92" s="10"/>
      <c r="H92" s="10"/>
      <c r="I92" s="10"/>
      <c r="J92" s="10"/>
    </row>
    <row r="93" customFormat="false" ht="15" hidden="false" customHeight="false" outlineLevel="0" collapsed="false">
      <c r="A93" s="10"/>
      <c r="B93" s="10"/>
      <c r="C93" s="10"/>
      <c r="D93" s="10"/>
      <c r="E93" s="11"/>
      <c r="F93" s="11"/>
      <c r="G93" s="10"/>
      <c r="H93" s="10"/>
      <c r="I93" s="10"/>
      <c r="J93" s="10"/>
    </row>
    <row r="94" customFormat="false" ht="15" hidden="false" customHeight="false" outlineLevel="0" collapsed="false">
      <c r="A94" s="10"/>
      <c r="B94" s="10"/>
      <c r="C94" s="10"/>
      <c r="D94" s="10"/>
      <c r="E94" s="11"/>
      <c r="F94" s="11"/>
      <c r="G94" s="10"/>
      <c r="H94" s="10"/>
      <c r="I94" s="10"/>
      <c r="J94" s="10"/>
    </row>
    <row r="95" customFormat="false" ht="15" hidden="false" customHeight="false" outlineLevel="0" collapsed="false">
      <c r="A95" s="10"/>
      <c r="B95" s="10"/>
      <c r="C95" s="10"/>
      <c r="D95" s="10"/>
      <c r="E95" s="11"/>
      <c r="F95" s="11"/>
      <c r="G95" s="10"/>
      <c r="H95" s="10"/>
      <c r="I95" s="10"/>
      <c r="J95" s="10"/>
    </row>
    <row r="96" customFormat="false" ht="15" hidden="false" customHeight="false" outlineLevel="0" collapsed="false">
      <c r="A96" s="10"/>
      <c r="B96" s="10"/>
      <c r="C96" s="10"/>
      <c r="D96" s="10"/>
      <c r="E96" s="11"/>
      <c r="F96" s="11"/>
      <c r="G96" s="10"/>
      <c r="H96" s="10"/>
      <c r="I96" s="10"/>
      <c r="J96" s="10"/>
    </row>
    <row r="97" customFormat="false" ht="15" hidden="false" customHeight="false" outlineLevel="0" collapsed="false">
      <c r="A97" s="10"/>
      <c r="B97" s="10"/>
      <c r="C97" s="10"/>
      <c r="D97" s="10"/>
      <c r="E97" s="11"/>
      <c r="F97" s="11"/>
      <c r="G97" s="10"/>
      <c r="H97" s="10"/>
      <c r="I97" s="10"/>
      <c r="J97" s="10"/>
    </row>
    <row r="98" customFormat="false" ht="15" hidden="false" customHeight="false" outlineLevel="0" collapsed="false">
      <c r="A98" s="10"/>
      <c r="B98" s="10"/>
      <c r="C98" s="10"/>
      <c r="D98" s="10"/>
      <c r="E98" s="11"/>
      <c r="F98" s="11"/>
      <c r="G98" s="10"/>
      <c r="H98" s="10"/>
      <c r="I98" s="10"/>
      <c r="J98" s="10"/>
    </row>
    <row r="99" customFormat="false" ht="15" hidden="false" customHeight="false" outlineLevel="0" collapsed="false">
      <c r="A99" s="10"/>
      <c r="B99" s="10"/>
      <c r="C99" s="10"/>
      <c r="D99" s="10"/>
      <c r="E99" s="11"/>
      <c r="F99" s="11"/>
      <c r="G99" s="10"/>
      <c r="H99" s="10"/>
      <c r="I99" s="10"/>
      <c r="J99" s="10"/>
    </row>
    <row r="100" customFormat="false" ht="15" hidden="false" customHeight="false" outlineLevel="0" collapsed="false">
      <c r="A100" s="10"/>
      <c r="B100" s="10"/>
      <c r="C100" s="10"/>
      <c r="D100" s="10"/>
      <c r="E100" s="11"/>
      <c r="F100" s="11"/>
      <c r="G100" s="10"/>
      <c r="H100" s="10"/>
      <c r="I100" s="10"/>
      <c r="J100" s="10"/>
    </row>
    <row r="101" customFormat="false" ht="15" hidden="false" customHeight="false" outlineLevel="0" collapsed="false">
      <c r="A101" s="10"/>
      <c r="B101" s="10"/>
      <c r="C101" s="10"/>
      <c r="D101" s="10"/>
      <c r="E101" s="11"/>
      <c r="F101" s="11"/>
      <c r="G101" s="10"/>
      <c r="H101" s="10"/>
      <c r="I101" s="10"/>
      <c r="J101" s="10"/>
    </row>
    <row r="102" customFormat="false" ht="15" hidden="false" customHeight="false" outlineLevel="0" collapsed="false">
      <c r="A102" s="10"/>
      <c r="B102" s="10"/>
      <c r="C102" s="10"/>
      <c r="D102" s="10"/>
      <c r="E102" s="11"/>
      <c r="F102" s="11"/>
      <c r="G102" s="10"/>
      <c r="H102" s="10"/>
      <c r="I102" s="10"/>
      <c r="J102" s="10"/>
    </row>
    <row r="103" customFormat="false" ht="15" hidden="false" customHeight="false" outlineLevel="0" collapsed="false">
      <c r="A103" s="10"/>
      <c r="B103" s="10"/>
      <c r="C103" s="10"/>
      <c r="D103" s="10"/>
      <c r="E103" s="11"/>
      <c r="F103" s="11"/>
      <c r="G103" s="10"/>
      <c r="H103" s="10"/>
      <c r="I103" s="10"/>
      <c r="J103" s="10"/>
    </row>
    <row r="104" customFormat="false" ht="15" hidden="false" customHeight="false" outlineLevel="0" collapsed="false">
      <c r="A104" s="10"/>
      <c r="B104" s="10"/>
      <c r="C104" s="10"/>
      <c r="D104" s="10"/>
      <c r="E104" s="11"/>
      <c r="F104" s="11"/>
      <c r="G104" s="10"/>
      <c r="H104" s="10"/>
      <c r="I104" s="10"/>
      <c r="J104" s="10"/>
    </row>
    <row r="105" customFormat="false" ht="15" hidden="false" customHeight="false" outlineLevel="0" collapsed="false">
      <c r="A105" s="10"/>
      <c r="B105" s="10"/>
      <c r="C105" s="10"/>
      <c r="D105" s="10"/>
      <c r="E105" s="11"/>
      <c r="F105" s="11"/>
      <c r="G105" s="10"/>
      <c r="H105" s="10"/>
      <c r="I105" s="10"/>
      <c r="J105" s="10"/>
    </row>
    <row r="106" customFormat="false" ht="15" hidden="false" customHeight="false" outlineLevel="0" collapsed="false">
      <c r="A106" s="10"/>
      <c r="B106" s="10"/>
      <c r="C106" s="10"/>
      <c r="D106" s="10"/>
      <c r="E106" s="11"/>
      <c r="F106" s="11"/>
      <c r="G106" s="10"/>
      <c r="H106" s="10"/>
      <c r="I106" s="10"/>
      <c r="J106" s="10"/>
    </row>
    <row r="107" customFormat="false" ht="15" hidden="false" customHeight="false" outlineLevel="0" collapsed="false">
      <c r="A107" s="10"/>
      <c r="B107" s="10"/>
      <c r="C107" s="10"/>
      <c r="D107" s="10"/>
      <c r="E107" s="11"/>
      <c r="F107" s="11"/>
      <c r="G107" s="10"/>
      <c r="H107" s="10"/>
      <c r="I107" s="10"/>
      <c r="J107" s="10"/>
    </row>
    <row r="108" customFormat="false" ht="15" hidden="false" customHeight="false" outlineLevel="0" collapsed="false">
      <c r="A108" s="10"/>
      <c r="B108" s="10"/>
      <c r="C108" s="10"/>
      <c r="D108" s="10"/>
      <c r="E108" s="11"/>
      <c r="F108" s="11"/>
      <c r="G108" s="10"/>
      <c r="H108" s="10"/>
      <c r="I108" s="10"/>
      <c r="J108" s="10"/>
    </row>
    <row r="109" customFormat="false" ht="15" hidden="false" customHeight="false" outlineLevel="0" collapsed="false">
      <c r="A109" s="10"/>
      <c r="B109" s="10"/>
      <c r="C109" s="10"/>
      <c r="D109" s="10"/>
      <c r="E109" s="11"/>
      <c r="F109" s="11"/>
      <c r="G109" s="10"/>
      <c r="H109" s="10"/>
      <c r="I109" s="10"/>
      <c r="J109" s="10"/>
    </row>
    <row r="110" customFormat="false" ht="15" hidden="false" customHeight="false" outlineLevel="0" collapsed="false">
      <c r="A110" s="10"/>
      <c r="B110" s="10"/>
      <c r="C110" s="10"/>
      <c r="D110" s="10"/>
      <c r="E110" s="11"/>
      <c r="F110" s="11"/>
      <c r="G110" s="10"/>
      <c r="H110" s="10"/>
      <c r="I110" s="10"/>
      <c r="J110" s="10"/>
    </row>
    <row r="111" customFormat="false" ht="15" hidden="false" customHeight="false" outlineLevel="0" collapsed="false">
      <c r="A111" s="10"/>
      <c r="B111" s="10"/>
      <c r="C111" s="10"/>
      <c r="D111" s="10"/>
      <c r="E111" s="11"/>
      <c r="F111" s="11"/>
      <c r="G111" s="10"/>
      <c r="H111" s="10"/>
      <c r="I111" s="10"/>
      <c r="J111" s="10"/>
    </row>
    <row r="112" customFormat="false" ht="15" hidden="false" customHeight="false" outlineLevel="0" collapsed="false">
      <c r="A112" s="10"/>
      <c r="B112" s="10"/>
      <c r="C112" s="10"/>
      <c r="D112" s="10"/>
      <c r="E112" s="11"/>
      <c r="F112" s="11"/>
      <c r="G112" s="10"/>
      <c r="H112" s="10"/>
      <c r="I112" s="10"/>
      <c r="J112" s="10"/>
    </row>
    <row r="113" customFormat="false" ht="15" hidden="false" customHeight="false" outlineLevel="0" collapsed="false">
      <c r="A113" s="10"/>
      <c r="B113" s="10"/>
      <c r="C113" s="10"/>
      <c r="D113" s="10"/>
      <c r="E113" s="11"/>
      <c r="F113" s="11"/>
      <c r="G113" s="10"/>
      <c r="H113" s="10"/>
      <c r="I113" s="10"/>
      <c r="J113" s="10"/>
    </row>
    <row r="114" customFormat="false" ht="15" hidden="false" customHeight="false" outlineLevel="0" collapsed="false">
      <c r="A114" s="10"/>
      <c r="B114" s="10"/>
      <c r="C114" s="10"/>
      <c r="D114" s="10"/>
      <c r="E114" s="11"/>
      <c r="F114" s="11"/>
      <c r="G114" s="10"/>
      <c r="H114" s="10"/>
      <c r="I114" s="10"/>
      <c r="J114" s="10"/>
    </row>
    <row r="115" customFormat="false" ht="15" hidden="false" customHeight="false" outlineLevel="0" collapsed="false">
      <c r="A115" s="10"/>
      <c r="B115" s="10"/>
      <c r="C115" s="10"/>
      <c r="D115" s="10"/>
      <c r="E115" s="11"/>
      <c r="F115" s="11"/>
      <c r="G115" s="10"/>
      <c r="H115" s="10"/>
      <c r="I115" s="10"/>
      <c r="J115" s="10"/>
    </row>
    <row r="116" customFormat="false" ht="15" hidden="false" customHeight="false" outlineLevel="0" collapsed="false">
      <c r="A116" s="10"/>
      <c r="B116" s="10"/>
      <c r="C116" s="10"/>
      <c r="D116" s="10"/>
      <c r="E116" s="11"/>
      <c r="F116" s="11"/>
      <c r="G116" s="10"/>
      <c r="H116" s="10"/>
      <c r="I116" s="10"/>
      <c r="J116" s="10"/>
    </row>
    <row r="117" customFormat="false" ht="15" hidden="false" customHeight="false" outlineLevel="0" collapsed="false">
      <c r="A117" s="10"/>
      <c r="B117" s="10"/>
      <c r="C117" s="10"/>
      <c r="D117" s="10"/>
      <c r="E117" s="11"/>
      <c r="F117" s="11"/>
      <c r="G117" s="10"/>
      <c r="H117" s="10"/>
      <c r="I117" s="10"/>
      <c r="J117" s="10"/>
    </row>
    <row r="118" customFormat="false" ht="15" hidden="false" customHeight="false" outlineLevel="0" collapsed="false">
      <c r="A118" s="10"/>
      <c r="B118" s="10"/>
      <c r="C118" s="10"/>
      <c r="D118" s="10"/>
      <c r="E118" s="11"/>
      <c r="F118" s="11"/>
      <c r="G118" s="10"/>
      <c r="H118" s="10"/>
      <c r="I118" s="10"/>
      <c r="J118" s="10"/>
    </row>
    <row r="119" customFormat="false" ht="15" hidden="false" customHeight="false" outlineLevel="0" collapsed="false">
      <c r="A119" s="10"/>
      <c r="B119" s="10"/>
      <c r="C119" s="10"/>
      <c r="D119" s="10"/>
      <c r="E119" s="11"/>
      <c r="F119" s="11"/>
      <c r="G119" s="10"/>
      <c r="H119" s="10"/>
      <c r="I119" s="10"/>
      <c r="J119" s="10"/>
    </row>
    <row r="120" customFormat="false" ht="15" hidden="false" customHeight="false" outlineLevel="0" collapsed="false">
      <c r="A120" s="10"/>
      <c r="B120" s="10"/>
      <c r="C120" s="10"/>
      <c r="D120" s="10"/>
      <c r="E120" s="11"/>
      <c r="F120" s="11"/>
      <c r="G120" s="10"/>
      <c r="H120" s="10"/>
      <c r="I120" s="10"/>
      <c r="J120" s="10"/>
    </row>
    <row r="121" customFormat="false" ht="15" hidden="false" customHeight="false" outlineLevel="0" collapsed="false">
      <c r="A121" s="10"/>
      <c r="B121" s="10"/>
      <c r="C121" s="10"/>
      <c r="D121" s="10"/>
      <c r="E121" s="11"/>
      <c r="F121" s="11"/>
      <c r="G121" s="10"/>
      <c r="H121" s="10"/>
      <c r="I121" s="10"/>
      <c r="J121" s="10"/>
    </row>
    <row r="122" customFormat="false" ht="15" hidden="false" customHeight="false" outlineLevel="0" collapsed="false">
      <c r="A122" s="10"/>
      <c r="B122" s="10"/>
      <c r="C122" s="10"/>
      <c r="D122" s="10"/>
      <c r="E122" s="11"/>
      <c r="F122" s="11"/>
      <c r="G122" s="10"/>
      <c r="H122" s="10"/>
      <c r="I122" s="10"/>
      <c r="J122" s="10"/>
    </row>
    <row r="123" customFormat="false" ht="15" hidden="false" customHeight="false" outlineLevel="0" collapsed="false">
      <c r="A123" s="10"/>
      <c r="B123" s="10"/>
      <c r="C123" s="10"/>
      <c r="D123" s="10"/>
      <c r="E123" s="11"/>
      <c r="F123" s="11"/>
      <c r="G123" s="10"/>
      <c r="H123" s="10"/>
      <c r="I123" s="10"/>
      <c r="J123" s="10"/>
    </row>
    <row r="124" customFormat="false" ht="15" hidden="false" customHeight="false" outlineLevel="0" collapsed="false">
      <c r="A124" s="10"/>
      <c r="B124" s="10"/>
      <c r="C124" s="10"/>
      <c r="D124" s="10"/>
      <c r="E124" s="11"/>
      <c r="F124" s="11"/>
      <c r="G124" s="10"/>
      <c r="H124" s="10"/>
      <c r="I124" s="10"/>
      <c r="J124" s="10"/>
    </row>
    <row r="125" customFormat="false" ht="15" hidden="false" customHeight="false" outlineLevel="0" collapsed="false">
      <c r="A125" s="10"/>
      <c r="B125" s="10"/>
      <c r="C125" s="10"/>
      <c r="D125" s="10"/>
      <c r="E125" s="11"/>
      <c r="F125" s="11"/>
      <c r="G125" s="10"/>
      <c r="H125" s="10"/>
      <c r="I125" s="10"/>
      <c r="J125" s="10"/>
    </row>
    <row r="126" customFormat="false" ht="15" hidden="false" customHeight="false" outlineLevel="0" collapsed="false">
      <c r="A126" s="10"/>
      <c r="B126" s="10"/>
      <c r="C126" s="10"/>
      <c r="D126" s="10"/>
      <c r="E126" s="11"/>
      <c r="F126" s="11"/>
      <c r="G126" s="10"/>
      <c r="H126" s="10"/>
      <c r="I126" s="10"/>
      <c r="J126" s="10"/>
    </row>
    <row r="127" customFormat="false" ht="15" hidden="false" customHeight="false" outlineLevel="0" collapsed="false">
      <c r="A127" s="10"/>
      <c r="B127" s="10"/>
      <c r="C127" s="10"/>
      <c r="D127" s="10"/>
      <c r="E127" s="11"/>
      <c r="F127" s="11"/>
      <c r="G127" s="10"/>
      <c r="H127" s="10"/>
      <c r="I127" s="10"/>
      <c r="J127" s="10"/>
    </row>
    <row r="128" customFormat="false" ht="15" hidden="false" customHeight="false" outlineLevel="0" collapsed="false">
      <c r="A128" s="10"/>
      <c r="B128" s="10"/>
      <c r="C128" s="10"/>
      <c r="D128" s="10"/>
      <c r="E128" s="11"/>
      <c r="F128" s="11"/>
      <c r="G128" s="10"/>
      <c r="H128" s="10"/>
      <c r="I128" s="10"/>
      <c r="J128" s="10"/>
    </row>
    <row r="129" customFormat="false" ht="15" hidden="false" customHeight="false" outlineLevel="0" collapsed="false">
      <c r="A129" s="10"/>
      <c r="B129" s="10"/>
      <c r="C129" s="10"/>
      <c r="D129" s="10"/>
      <c r="E129" s="11"/>
      <c r="F129" s="11"/>
      <c r="G129" s="10"/>
      <c r="H129" s="10"/>
      <c r="I129" s="10"/>
      <c r="J129" s="10"/>
    </row>
    <row r="130" customFormat="false" ht="15" hidden="false" customHeight="false" outlineLevel="0" collapsed="false">
      <c r="A130" s="10"/>
      <c r="B130" s="10"/>
      <c r="C130" s="10"/>
      <c r="D130" s="10"/>
      <c r="E130" s="11"/>
      <c r="F130" s="11"/>
      <c r="G130" s="10"/>
      <c r="H130" s="10"/>
      <c r="I130" s="10"/>
      <c r="J130" s="10"/>
    </row>
    <row r="131" customFormat="false" ht="15" hidden="false" customHeight="false" outlineLevel="0" collapsed="false">
      <c r="A131" s="10"/>
      <c r="B131" s="10"/>
      <c r="C131" s="10"/>
      <c r="D131" s="10"/>
      <c r="E131" s="11"/>
      <c r="F131" s="11"/>
      <c r="G131" s="10"/>
      <c r="H131" s="10"/>
      <c r="I131" s="10"/>
      <c r="J131" s="10"/>
    </row>
    <row r="132" customFormat="false" ht="15" hidden="false" customHeight="false" outlineLevel="0" collapsed="false">
      <c r="A132" s="10"/>
      <c r="B132" s="10"/>
      <c r="C132" s="10"/>
      <c r="D132" s="10"/>
      <c r="E132" s="11"/>
      <c r="F132" s="11"/>
      <c r="G132" s="10"/>
      <c r="H132" s="10"/>
      <c r="I132" s="10"/>
      <c r="J132" s="10"/>
    </row>
    <row r="133" customFormat="false" ht="15" hidden="false" customHeight="false" outlineLevel="0" collapsed="false">
      <c r="A133" s="10"/>
      <c r="B133" s="10"/>
      <c r="C133" s="10"/>
      <c r="D133" s="10"/>
      <c r="E133" s="11"/>
      <c r="F133" s="11"/>
      <c r="G133" s="10"/>
      <c r="H133" s="10"/>
      <c r="I133" s="10"/>
      <c r="J133" s="10"/>
    </row>
    <row r="134" customFormat="false" ht="15" hidden="false" customHeight="false" outlineLevel="0" collapsed="false">
      <c r="A134" s="10"/>
      <c r="B134" s="10"/>
      <c r="C134" s="10"/>
      <c r="D134" s="10"/>
      <c r="E134" s="11"/>
      <c r="F134" s="11"/>
      <c r="G134" s="10"/>
      <c r="H134" s="10"/>
      <c r="I134" s="10"/>
      <c r="J134" s="10"/>
    </row>
    <row r="135" customFormat="false" ht="15" hidden="false" customHeight="false" outlineLevel="0" collapsed="false">
      <c r="A135" s="10"/>
      <c r="B135" s="10"/>
      <c r="C135" s="10"/>
      <c r="D135" s="10"/>
      <c r="E135" s="11"/>
      <c r="F135" s="11"/>
      <c r="G135" s="10"/>
      <c r="H135" s="10"/>
      <c r="I135" s="10"/>
      <c r="J135" s="10"/>
    </row>
    <row r="136" customFormat="false" ht="15" hidden="false" customHeight="false" outlineLevel="0" collapsed="false">
      <c r="A136" s="10"/>
      <c r="B136" s="10"/>
      <c r="C136" s="10"/>
      <c r="D136" s="10"/>
      <c r="E136" s="11"/>
      <c r="F136" s="11"/>
      <c r="G136" s="10"/>
      <c r="H136" s="10"/>
      <c r="I136" s="10"/>
      <c r="J136" s="10"/>
    </row>
    <row r="137" customFormat="false" ht="15" hidden="false" customHeight="false" outlineLevel="0" collapsed="false">
      <c r="A137" s="10"/>
      <c r="B137" s="10"/>
      <c r="C137" s="10"/>
      <c r="D137" s="10"/>
      <c r="E137" s="11"/>
      <c r="F137" s="11"/>
      <c r="G137" s="10"/>
      <c r="H137" s="10"/>
      <c r="I137" s="10"/>
      <c r="J137" s="10"/>
    </row>
    <row r="138" customFormat="false" ht="15" hidden="false" customHeight="false" outlineLevel="0" collapsed="false">
      <c r="A138" s="10"/>
      <c r="B138" s="10"/>
      <c r="C138" s="10"/>
      <c r="D138" s="10"/>
      <c r="E138" s="11"/>
      <c r="F138" s="11"/>
      <c r="G138" s="10"/>
      <c r="H138" s="10"/>
      <c r="I138" s="10"/>
      <c r="J138" s="10"/>
    </row>
    <row r="139" customFormat="false" ht="15" hidden="false" customHeight="false" outlineLevel="0" collapsed="false">
      <c r="A139" s="10"/>
      <c r="B139" s="10"/>
      <c r="C139" s="10"/>
      <c r="D139" s="10"/>
      <c r="E139" s="11"/>
      <c r="F139" s="11"/>
      <c r="G139" s="10"/>
      <c r="H139" s="10"/>
      <c r="I139" s="10"/>
      <c r="J139" s="10"/>
    </row>
    <row r="140" customFormat="false" ht="15" hidden="false" customHeight="false" outlineLevel="0" collapsed="false">
      <c r="A140" s="10"/>
      <c r="B140" s="10"/>
      <c r="C140" s="10"/>
      <c r="D140" s="10"/>
      <c r="E140" s="11"/>
      <c r="F140" s="11"/>
      <c r="G140" s="10"/>
      <c r="H140" s="10"/>
      <c r="I140" s="10"/>
      <c r="J140" s="10"/>
    </row>
    <row r="141" customFormat="false" ht="15" hidden="false" customHeight="false" outlineLevel="0" collapsed="false">
      <c r="A141" s="10"/>
      <c r="B141" s="10"/>
      <c r="C141" s="10"/>
      <c r="D141" s="10"/>
      <c r="E141" s="11"/>
      <c r="F141" s="11"/>
      <c r="G141" s="10"/>
      <c r="H141" s="10"/>
      <c r="I141" s="10"/>
      <c r="J141" s="10"/>
    </row>
    <row r="142" customFormat="false" ht="15" hidden="false" customHeight="false" outlineLevel="0" collapsed="false">
      <c r="A142" s="10"/>
      <c r="B142" s="10"/>
      <c r="C142" s="10"/>
      <c r="D142" s="10"/>
      <c r="E142" s="11"/>
      <c r="F142" s="11"/>
      <c r="G142" s="10"/>
      <c r="H142" s="10"/>
      <c r="I142" s="10"/>
      <c r="J142" s="10"/>
    </row>
    <row r="143" customFormat="false" ht="15" hidden="false" customHeight="false" outlineLevel="0" collapsed="false">
      <c r="A143" s="10"/>
      <c r="B143" s="10"/>
      <c r="C143" s="10"/>
      <c r="D143" s="10"/>
      <c r="E143" s="11"/>
      <c r="F143" s="11"/>
      <c r="G143" s="10"/>
      <c r="H143" s="10"/>
      <c r="I143" s="10"/>
      <c r="J143" s="10"/>
    </row>
    <row r="144" customFormat="false" ht="15" hidden="false" customHeight="false" outlineLevel="0" collapsed="false">
      <c r="A144" s="10"/>
      <c r="B144" s="10"/>
      <c r="C144" s="10"/>
      <c r="D144" s="10"/>
      <c r="E144" s="11"/>
      <c r="F144" s="11"/>
      <c r="G144" s="10"/>
      <c r="H144" s="10"/>
      <c r="I144" s="10"/>
      <c r="J144" s="10"/>
    </row>
    <row r="145" customFormat="false" ht="15" hidden="false" customHeight="false" outlineLevel="0" collapsed="false">
      <c r="A145" s="10"/>
      <c r="B145" s="10"/>
      <c r="C145" s="10"/>
      <c r="D145" s="10"/>
      <c r="E145" s="11"/>
      <c r="F145" s="11"/>
      <c r="G145" s="10"/>
      <c r="H145" s="10"/>
      <c r="I145" s="10"/>
      <c r="J145" s="10"/>
    </row>
    <row r="146" customFormat="false" ht="15" hidden="false" customHeight="false" outlineLevel="0" collapsed="false">
      <c r="A146" s="10"/>
      <c r="B146" s="10"/>
      <c r="C146" s="10"/>
      <c r="D146" s="10"/>
      <c r="E146" s="11"/>
      <c r="F146" s="11"/>
      <c r="G146" s="10"/>
      <c r="H146" s="10"/>
      <c r="I146" s="10"/>
      <c r="J146" s="10"/>
    </row>
    <row r="147" customFormat="false" ht="15" hidden="false" customHeight="false" outlineLevel="0" collapsed="false">
      <c r="A147" s="10"/>
      <c r="B147" s="10"/>
      <c r="C147" s="10"/>
      <c r="D147" s="10"/>
      <c r="E147" s="11"/>
      <c r="F147" s="11"/>
      <c r="G147" s="10"/>
      <c r="H147" s="10"/>
      <c r="I147" s="10"/>
      <c r="J147" s="10"/>
    </row>
    <row r="148" customFormat="false" ht="15" hidden="false" customHeight="false" outlineLevel="0" collapsed="false">
      <c r="A148" s="10"/>
      <c r="B148" s="10"/>
      <c r="C148" s="10"/>
      <c r="D148" s="10"/>
      <c r="E148" s="11"/>
      <c r="F148" s="11"/>
      <c r="G148" s="10"/>
      <c r="H148" s="10"/>
      <c r="I148" s="10"/>
      <c r="J148" s="10"/>
    </row>
    <row r="149" customFormat="false" ht="15" hidden="false" customHeight="false" outlineLevel="0" collapsed="false">
      <c r="A149" s="10"/>
      <c r="B149" s="10"/>
      <c r="C149" s="10"/>
      <c r="D149" s="10"/>
      <c r="E149" s="11"/>
      <c r="F149" s="11"/>
      <c r="G149" s="10"/>
      <c r="H149" s="10"/>
      <c r="I149" s="10"/>
      <c r="J149" s="10"/>
    </row>
    <row r="150" customFormat="false" ht="15" hidden="false" customHeight="false" outlineLevel="0" collapsed="false">
      <c r="A150" s="10"/>
      <c r="B150" s="10"/>
      <c r="C150" s="10"/>
      <c r="D150" s="10"/>
      <c r="E150" s="11"/>
      <c r="F150" s="11"/>
      <c r="G150" s="10"/>
      <c r="H150" s="10"/>
      <c r="I150" s="10"/>
      <c r="J150" s="10"/>
    </row>
    <row r="151" customFormat="false" ht="15" hidden="false" customHeight="false" outlineLevel="0" collapsed="false">
      <c r="A151" s="10"/>
      <c r="B151" s="10"/>
      <c r="C151" s="10"/>
      <c r="D151" s="10"/>
      <c r="E151" s="11"/>
      <c r="F151" s="11"/>
      <c r="G151" s="10"/>
      <c r="H151" s="10"/>
      <c r="I151" s="10"/>
      <c r="J151" s="10"/>
    </row>
    <row r="152" customFormat="false" ht="15" hidden="false" customHeight="false" outlineLevel="0" collapsed="false">
      <c r="A152" s="10"/>
      <c r="B152" s="10"/>
      <c r="C152" s="10"/>
      <c r="D152" s="10"/>
      <c r="E152" s="11"/>
      <c r="F152" s="11"/>
      <c r="G152" s="10"/>
      <c r="H152" s="10"/>
      <c r="I152" s="10"/>
      <c r="J152" s="10"/>
    </row>
    <row r="153" customFormat="false" ht="15" hidden="false" customHeight="false" outlineLevel="0" collapsed="false">
      <c r="A153" s="10"/>
      <c r="B153" s="10"/>
      <c r="C153" s="10"/>
      <c r="D153" s="10"/>
      <c r="E153" s="11"/>
      <c r="F153" s="11"/>
      <c r="G153" s="10"/>
      <c r="H153" s="10"/>
      <c r="I153" s="10"/>
      <c r="J153" s="10"/>
    </row>
    <row r="154" customFormat="false" ht="15" hidden="false" customHeight="false" outlineLevel="0" collapsed="false">
      <c r="A154" s="10"/>
      <c r="B154" s="10"/>
      <c r="C154" s="10"/>
      <c r="D154" s="10"/>
      <c r="E154" s="11"/>
      <c r="F154" s="11"/>
      <c r="G154" s="10"/>
      <c r="H154" s="10"/>
      <c r="I154" s="10"/>
      <c r="J154" s="10"/>
    </row>
    <row r="155" customFormat="false" ht="15" hidden="false" customHeight="false" outlineLevel="0" collapsed="false">
      <c r="A155" s="10"/>
      <c r="B155" s="10"/>
      <c r="C155" s="10"/>
      <c r="D155" s="10"/>
      <c r="E155" s="11"/>
      <c r="F155" s="11"/>
      <c r="G155" s="10"/>
      <c r="H155" s="10"/>
      <c r="I155" s="10"/>
      <c r="J155" s="10"/>
    </row>
    <row r="156" customFormat="false" ht="15" hidden="false" customHeight="false" outlineLevel="0" collapsed="false">
      <c r="A156" s="10"/>
      <c r="B156" s="10"/>
      <c r="C156" s="10"/>
      <c r="D156" s="10"/>
      <c r="E156" s="11"/>
      <c r="F156" s="11"/>
      <c r="G156" s="10"/>
      <c r="H156" s="10"/>
      <c r="I156" s="10"/>
      <c r="J156" s="10"/>
    </row>
    <row r="157" customFormat="false" ht="15" hidden="false" customHeight="false" outlineLevel="0" collapsed="false">
      <c r="A157" s="10"/>
      <c r="B157" s="10"/>
      <c r="C157" s="10"/>
      <c r="D157" s="10"/>
      <c r="E157" s="11"/>
      <c r="F157" s="11"/>
      <c r="G157" s="10"/>
      <c r="H157" s="10"/>
      <c r="I157" s="10"/>
      <c r="J157" s="10"/>
    </row>
    <row r="158" customFormat="false" ht="15" hidden="false" customHeight="false" outlineLevel="0" collapsed="false">
      <c r="A158" s="10"/>
      <c r="B158" s="10"/>
      <c r="C158" s="10"/>
      <c r="D158" s="10"/>
      <c r="E158" s="11"/>
      <c r="F158" s="11"/>
      <c r="G158" s="10"/>
      <c r="H158" s="10"/>
      <c r="I158" s="10"/>
      <c r="J158" s="10"/>
    </row>
    <row r="159" customFormat="false" ht="15" hidden="false" customHeight="false" outlineLevel="0" collapsed="false">
      <c r="A159" s="10"/>
      <c r="B159" s="10"/>
      <c r="C159" s="10"/>
      <c r="D159" s="10"/>
      <c r="E159" s="11"/>
      <c r="F159" s="11"/>
      <c r="G159" s="10"/>
      <c r="H159" s="10"/>
      <c r="I159" s="10"/>
      <c r="J159" s="10"/>
    </row>
    <row r="160" customFormat="false" ht="15" hidden="false" customHeight="false" outlineLevel="0" collapsed="false">
      <c r="A160" s="10"/>
      <c r="B160" s="10"/>
      <c r="C160" s="10"/>
      <c r="D160" s="10"/>
      <c r="E160" s="11"/>
      <c r="F160" s="11"/>
      <c r="G160" s="10"/>
      <c r="H160" s="10"/>
      <c r="I160" s="10"/>
      <c r="J160" s="10"/>
    </row>
    <row r="161" customFormat="false" ht="15" hidden="false" customHeight="false" outlineLevel="0" collapsed="false">
      <c r="A161" s="10"/>
      <c r="B161" s="10"/>
      <c r="C161" s="10"/>
      <c r="D161" s="10"/>
      <c r="E161" s="11"/>
      <c r="F161" s="11"/>
      <c r="G161" s="10"/>
      <c r="H161" s="10"/>
      <c r="I161" s="10"/>
      <c r="J161" s="10"/>
    </row>
    <row r="162" customFormat="false" ht="15" hidden="false" customHeight="false" outlineLevel="0" collapsed="false">
      <c r="A162" s="10"/>
      <c r="B162" s="10"/>
      <c r="C162" s="10"/>
      <c r="D162" s="10"/>
      <c r="E162" s="11"/>
      <c r="F162" s="11"/>
      <c r="G162" s="10"/>
      <c r="H162" s="10"/>
      <c r="I162" s="10"/>
      <c r="J162" s="10"/>
    </row>
    <row r="163" customFormat="false" ht="15" hidden="false" customHeight="false" outlineLevel="0" collapsed="false">
      <c r="A163" s="10"/>
      <c r="B163" s="10"/>
      <c r="C163" s="10"/>
      <c r="D163" s="10"/>
      <c r="E163" s="11"/>
      <c r="F163" s="11"/>
      <c r="G163" s="10"/>
      <c r="H163" s="10"/>
      <c r="I163" s="10"/>
      <c r="J163" s="10"/>
    </row>
    <row r="164" customFormat="false" ht="15" hidden="false" customHeight="false" outlineLevel="0" collapsed="false">
      <c r="A164" s="10"/>
      <c r="B164" s="10"/>
      <c r="C164" s="10"/>
      <c r="D164" s="10"/>
      <c r="E164" s="11"/>
      <c r="F164" s="11"/>
      <c r="G164" s="10"/>
      <c r="H164" s="10"/>
      <c r="I164" s="10"/>
      <c r="J164" s="10"/>
    </row>
    <row r="165" customFormat="false" ht="15" hidden="false" customHeight="false" outlineLevel="0" collapsed="false">
      <c r="A165" s="10"/>
      <c r="B165" s="10"/>
      <c r="C165" s="10"/>
      <c r="D165" s="10"/>
      <c r="E165" s="11"/>
      <c r="F165" s="11"/>
      <c r="G165" s="10"/>
      <c r="H165" s="10"/>
      <c r="I165" s="10"/>
      <c r="J165" s="10"/>
    </row>
    <row r="166" customFormat="false" ht="15" hidden="false" customHeight="false" outlineLevel="0" collapsed="false">
      <c r="A166" s="10"/>
      <c r="B166" s="10"/>
      <c r="C166" s="10"/>
      <c r="D166" s="10"/>
      <c r="E166" s="11"/>
      <c r="F166" s="11"/>
      <c r="G166" s="10"/>
      <c r="H166" s="10"/>
      <c r="I166" s="10"/>
      <c r="J166" s="10"/>
    </row>
    <row r="167" customFormat="false" ht="15" hidden="false" customHeight="false" outlineLevel="0" collapsed="false">
      <c r="A167" s="10"/>
      <c r="B167" s="10"/>
      <c r="C167" s="10"/>
      <c r="D167" s="10"/>
      <c r="E167" s="11"/>
      <c r="F167" s="11"/>
      <c r="G167" s="10"/>
      <c r="H167" s="10"/>
      <c r="I167" s="10"/>
      <c r="J167" s="10"/>
    </row>
    <row r="168" customFormat="false" ht="15" hidden="false" customHeight="false" outlineLevel="0" collapsed="false">
      <c r="A168" s="10"/>
      <c r="B168" s="10"/>
      <c r="C168" s="10"/>
      <c r="D168" s="10"/>
      <c r="E168" s="11"/>
      <c r="F168" s="11"/>
      <c r="G168" s="10"/>
      <c r="H168" s="10"/>
      <c r="I168" s="10"/>
      <c r="J168" s="10"/>
    </row>
    <row r="169" customFormat="false" ht="15" hidden="false" customHeight="false" outlineLevel="0" collapsed="false">
      <c r="A169" s="10"/>
      <c r="B169" s="10"/>
      <c r="C169" s="10"/>
      <c r="D169" s="10"/>
      <c r="E169" s="11"/>
      <c r="F169" s="11"/>
      <c r="G169" s="10"/>
      <c r="H169" s="10"/>
      <c r="I169" s="10"/>
      <c r="J169" s="10"/>
    </row>
    <row r="170" customFormat="false" ht="15" hidden="false" customHeight="false" outlineLevel="0" collapsed="false">
      <c r="A170" s="10"/>
      <c r="B170" s="10"/>
      <c r="C170" s="10"/>
      <c r="D170" s="10"/>
      <c r="E170" s="11"/>
      <c r="F170" s="11"/>
      <c r="G170" s="10"/>
      <c r="H170" s="10"/>
      <c r="I170" s="10"/>
      <c r="J170" s="10"/>
    </row>
    <row r="171" customFormat="false" ht="15" hidden="false" customHeight="false" outlineLevel="0" collapsed="false">
      <c r="A171" s="10"/>
      <c r="B171" s="10"/>
      <c r="C171" s="10"/>
      <c r="D171" s="10"/>
      <c r="E171" s="11"/>
      <c r="F171" s="11"/>
      <c r="G171" s="10"/>
      <c r="H171" s="10"/>
      <c r="I171" s="10"/>
      <c r="J171" s="10"/>
    </row>
    <row r="172" customFormat="false" ht="15" hidden="false" customHeight="false" outlineLevel="0" collapsed="false">
      <c r="A172" s="10"/>
      <c r="B172" s="10"/>
      <c r="C172" s="10"/>
      <c r="D172" s="10"/>
      <c r="E172" s="11"/>
      <c r="F172" s="11"/>
      <c r="G172" s="10"/>
      <c r="H172" s="10"/>
      <c r="I172" s="10"/>
      <c r="J172" s="10"/>
    </row>
    <row r="173" customFormat="false" ht="15" hidden="false" customHeight="false" outlineLevel="0" collapsed="false">
      <c r="A173" s="10"/>
      <c r="B173" s="10"/>
      <c r="C173" s="10"/>
      <c r="D173" s="10"/>
      <c r="E173" s="11"/>
      <c r="F173" s="11"/>
      <c r="G173" s="10"/>
      <c r="H173" s="10"/>
      <c r="I173" s="10"/>
      <c r="J173" s="10"/>
    </row>
    <row r="174" customFormat="false" ht="15" hidden="false" customHeight="false" outlineLevel="0" collapsed="false">
      <c r="A174" s="10"/>
      <c r="B174" s="10"/>
      <c r="C174" s="10"/>
      <c r="D174" s="10"/>
      <c r="E174" s="11"/>
      <c r="F174" s="11"/>
      <c r="G174" s="10"/>
      <c r="H174" s="10"/>
      <c r="I174" s="10"/>
      <c r="J174" s="10"/>
    </row>
    <row r="175" customFormat="false" ht="15" hidden="false" customHeight="false" outlineLevel="0" collapsed="false">
      <c r="A175" s="10"/>
      <c r="B175" s="10"/>
      <c r="C175" s="10"/>
      <c r="D175" s="10"/>
      <c r="E175" s="11"/>
      <c r="F175" s="11"/>
      <c r="G175" s="10"/>
      <c r="H175" s="10"/>
      <c r="I175" s="10"/>
      <c r="J175" s="10"/>
    </row>
    <row r="176" customFormat="false" ht="15" hidden="false" customHeight="false" outlineLevel="0" collapsed="false">
      <c r="A176" s="10"/>
      <c r="B176" s="10"/>
      <c r="C176" s="10"/>
      <c r="D176" s="10"/>
      <c r="E176" s="11"/>
      <c r="F176" s="11"/>
      <c r="G176" s="10"/>
      <c r="H176" s="10"/>
      <c r="I176" s="10"/>
      <c r="J176" s="10"/>
    </row>
    <row r="177" customFormat="false" ht="15" hidden="false" customHeight="false" outlineLevel="0" collapsed="false">
      <c r="A177" s="10"/>
      <c r="B177" s="10"/>
      <c r="C177" s="10"/>
      <c r="D177" s="10"/>
      <c r="E177" s="11"/>
      <c r="F177" s="11"/>
      <c r="G177" s="10"/>
      <c r="H177" s="10"/>
      <c r="I177" s="10"/>
      <c r="J177" s="10"/>
    </row>
    <row r="178" customFormat="false" ht="15" hidden="false" customHeight="false" outlineLevel="0" collapsed="false">
      <c r="A178" s="10"/>
      <c r="B178" s="10"/>
      <c r="C178" s="10"/>
      <c r="D178" s="10"/>
      <c r="E178" s="11"/>
      <c r="F178" s="11"/>
      <c r="G178" s="10"/>
      <c r="H178" s="10"/>
      <c r="I178" s="10"/>
      <c r="J178" s="10"/>
    </row>
    <row r="179" customFormat="false" ht="15" hidden="false" customHeight="false" outlineLevel="0" collapsed="false">
      <c r="A179" s="10"/>
      <c r="B179" s="10"/>
      <c r="C179" s="10"/>
      <c r="D179" s="10"/>
      <c r="E179" s="11"/>
      <c r="F179" s="11"/>
      <c r="G179" s="10"/>
      <c r="H179" s="10"/>
      <c r="I179" s="10"/>
      <c r="J179" s="10"/>
    </row>
    <row r="180" customFormat="false" ht="15" hidden="false" customHeight="false" outlineLevel="0" collapsed="false">
      <c r="A180" s="10"/>
      <c r="B180" s="10"/>
      <c r="C180" s="10"/>
      <c r="D180" s="10"/>
      <c r="E180" s="11"/>
      <c r="F180" s="11"/>
      <c r="G180" s="10"/>
      <c r="H180" s="10"/>
      <c r="I180" s="10"/>
      <c r="J180" s="10"/>
    </row>
    <row r="181" customFormat="false" ht="15" hidden="false" customHeight="false" outlineLevel="0" collapsed="false">
      <c r="A181" s="10"/>
      <c r="B181" s="10"/>
      <c r="C181" s="10"/>
      <c r="D181" s="10"/>
      <c r="E181" s="11"/>
      <c r="F181" s="11"/>
      <c r="G181" s="10"/>
      <c r="H181" s="10"/>
      <c r="I181" s="10"/>
      <c r="J181" s="10"/>
    </row>
    <row r="182" customFormat="false" ht="15" hidden="false" customHeight="false" outlineLevel="0" collapsed="false">
      <c r="A182" s="10"/>
      <c r="B182" s="10"/>
      <c r="C182" s="10"/>
      <c r="D182" s="10"/>
      <c r="E182" s="11"/>
      <c r="F182" s="11"/>
      <c r="G182" s="10"/>
      <c r="H182" s="10"/>
      <c r="I182" s="10"/>
      <c r="J182" s="10"/>
    </row>
    <row r="183" customFormat="false" ht="15" hidden="false" customHeight="false" outlineLevel="0" collapsed="false">
      <c r="A183" s="10"/>
      <c r="B183" s="10"/>
      <c r="C183" s="10"/>
      <c r="D183" s="10"/>
      <c r="E183" s="11"/>
      <c r="F183" s="11"/>
      <c r="G183" s="10"/>
      <c r="H183" s="10"/>
      <c r="I183" s="10"/>
      <c r="J183" s="10"/>
    </row>
    <row r="184" customFormat="false" ht="15" hidden="false" customHeight="false" outlineLevel="0" collapsed="false">
      <c r="A184" s="10"/>
      <c r="B184" s="10"/>
      <c r="C184" s="10"/>
      <c r="D184" s="10"/>
      <c r="E184" s="11"/>
      <c r="F184" s="11"/>
      <c r="G184" s="10"/>
      <c r="H184" s="10"/>
      <c r="I184" s="10"/>
      <c r="J184" s="10"/>
    </row>
    <row r="185" customFormat="false" ht="15" hidden="false" customHeight="false" outlineLevel="0" collapsed="false">
      <c r="A185" s="10"/>
      <c r="B185" s="10"/>
      <c r="C185" s="10"/>
      <c r="D185" s="10"/>
      <c r="E185" s="11"/>
      <c r="F185" s="11"/>
      <c r="G185" s="10"/>
      <c r="H185" s="10"/>
      <c r="I185" s="10"/>
      <c r="J185" s="10"/>
    </row>
    <row r="186" customFormat="false" ht="15" hidden="false" customHeight="false" outlineLevel="0" collapsed="false">
      <c r="A186" s="10"/>
      <c r="B186" s="10"/>
      <c r="C186" s="10"/>
      <c r="D186" s="10"/>
      <c r="E186" s="11"/>
      <c r="F186" s="11"/>
      <c r="G186" s="10"/>
      <c r="H186" s="10"/>
      <c r="I186" s="10"/>
      <c r="J186" s="10"/>
    </row>
    <row r="187" customFormat="false" ht="15" hidden="false" customHeight="false" outlineLevel="0" collapsed="false">
      <c r="A187" s="10"/>
      <c r="B187" s="10"/>
      <c r="C187" s="10"/>
      <c r="D187" s="10"/>
      <c r="E187" s="11"/>
      <c r="F187" s="11"/>
      <c r="G187" s="10"/>
      <c r="H187" s="10"/>
      <c r="I187" s="10"/>
      <c r="J187" s="10"/>
    </row>
    <row r="188" customFormat="false" ht="15" hidden="false" customHeight="false" outlineLevel="0" collapsed="false">
      <c r="A188" s="10"/>
      <c r="B188" s="10"/>
      <c r="C188" s="10"/>
      <c r="D188" s="10"/>
      <c r="E188" s="11"/>
      <c r="F188" s="11"/>
      <c r="G188" s="10"/>
      <c r="H188" s="10"/>
      <c r="I188" s="10"/>
      <c r="J188" s="10"/>
    </row>
    <row r="189" customFormat="false" ht="15" hidden="false" customHeight="false" outlineLevel="0" collapsed="false">
      <c r="A189" s="10"/>
      <c r="B189" s="10"/>
      <c r="C189" s="10"/>
      <c r="D189" s="10"/>
      <c r="E189" s="11"/>
      <c r="F189" s="11"/>
      <c r="G189" s="10"/>
      <c r="H189" s="10"/>
      <c r="I189" s="10"/>
      <c r="J189" s="10"/>
    </row>
    <row r="190" customFormat="false" ht="15" hidden="false" customHeight="false" outlineLevel="0" collapsed="false">
      <c r="A190" s="10"/>
      <c r="B190" s="10"/>
      <c r="C190" s="10"/>
      <c r="D190" s="10"/>
      <c r="E190" s="11"/>
      <c r="F190" s="11"/>
      <c r="G190" s="10"/>
      <c r="H190" s="10"/>
      <c r="I190" s="10"/>
      <c r="J190" s="10"/>
    </row>
    <row r="191" customFormat="false" ht="15" hidden="false" customHeight="false" outlineLevel="0" collapsed="false">
      <c r="A191" s="10"/>
      <c r="B191" s="10"/>
      <c r="C191" s="10"/>
      <c r="D191" s="10"/>
      <c r="E191" s="11"/>
      <c r="F191" s="11"/>
      <c r="G191" s="10"/>
      <c r="H191" s="10"/>
      <c r="I191" s="10"/>
      <c r="J191" s="10"/>
    </row>
    <row r="192" customFormat="false" ht="15" hidden="false" customHeight="false" outlineLevel="0" collapsed="false">
      <c r="A192" s="10"/>
      <c r="B192" s="10"/>
      <c r="C192" s="10"/>
      <c r="D192" s="10"/>
      <c r="E192" s="11"/>
      <c r="F192" s="11"/>
      <c r="G192" s="10"/>
      <c r="H192" s="10"/>
      <c r="I192" s="10"/>
      <c r="J192" s="10"/>
    </row>
    <row r="193" customFormat="false" ht="15" hidden="false" customHeight="false" outlineLevel="0" collapsed="false">
      <c r="A193" s="10"/>
      <c r="B193" s="10"/>
      <c r="C193" s="10"/>
      <c r="D193" s="10"/>
      <c r="E193" s="11"/>
      <c r="F193" s="11"/>
      <c r="G193" s="10"/>
      <c r="H193" s="10"/>
      <c r="I193" s="10"/>
      <c r="J193" s="10"/>
    </row>
    <row r="194" customFormat="false" ht="15" hidden="false" customHeight="false" outlineLevel="0" collapsed="false">
      <c r="A194" s="10"/>
      <c r="B194" s="10"/>
      <c r="C194" s="10"/>
      <c r="D194" s="10"/>
      <c r="E194" s="11"/>
      <c r="F194" s="11"/>
      <c r="G194" s="10"/>
      <c r="H194" s="10"/>
      <c r="I194" s="10"/>
      <c r="J194" s="10"/>
    </row>
    <row r="195" customFormat="false" ht="15" hidden="false" customHeight="false" outlineLevel="0" collapsed="false">
      <c r="A195" s="10"/>
      <c r="B195" s="10"/>
      <c r="C195" s="10"/>
      <c r="D195" s="10"/>
      <c r="E195" s="11"/>
      <c r="F195" s="11"/>
      <c r="G195" s="10"/>
      <c r="H195" s="10"/>
      <c r="I195" s="10"/>
      <c r="J195" s="10"/>
    </row>
    <row r="196" customFormat="false" ht="15" hidden="false" customHeight="false" outlineLevel="0" collapsed="false">
      <c r="A196" s="10"/>
      <c r="B196" s="10"/>
      <c r="C196" s="10"/>
      <c r="D196" s="10"/>
      <c r="E196" s="11"/>
      <c r="F196" s="11"/>
      <c r="G196" s="10"/>
      <c r="H196" s="10"/>
      <c r="I196" s="10"/>
      <c r="J196" s="10"/>
    </row>
    <row r="197" customFormat="false" ht="15" hidden="false" customHeight="false" outlineLevel="0" collapsed="false">
      <c r="A197" s="10"/>
      <c r="B197" s="10"/>
      <c r="C197" s="10"/>
      <c r="D197" s="10"/>
      <c r="E197" s="11"/>
      <c r="F197" s="11"/>
      <c r="G197" s="10"/>
      <c r="H197" s="10"/>
      <c r="I197" s="10"/>
      <c r="J197" s="10"/>
    </row>
    <row r="198" customFormat="false" ht="15" hidden="false" customHeight="false" outlineLevel="0" collapsed="false">
      <c r="A198" s="10"/>
      <c r="B198" s="10"/>
      <c r="C198" s="10"/>
      <c r="D198" s="10"/>
      <c r="E198" s="11"/>
      <c r="F198" s="11"/>
      <c r="G198" s="10"/>
      <c r="H198" s="10"/>
      <c r="I198" s="10"/>
      <c r="J198" s="10"/>
    </row>
    <row r="199" customFormat="false" ht="15" hidden="false" customHeight="false" outlineLevel="0" collapsed="false">
      <c r="A199" s="10"/>
      <c r="B199" s="10"/>
      <c r="C199" s="10"/>
      <c r="D199" s="10"/>
      <c r="E199" s="11"/>
      <c r="F199" s="11"/>
      <c r="G199" s="10"/>
      <c r="H199" s="10"/>
      <c r="I199" s="10"/>
      <c r="J199" s="10"/>
    </row>
    <row r="200" customFormat="false" ht="15" hidden="false" customHeight="false" outlineLevel="0" collapsed="false">
      <c r="A200" s="10"/>
      <c r="B200" s="10"/>
      <c r="C200" s="10"/>
      <c r="D200" s="10"/>
      <c r="E200" s="11"/>
      <c r="F200" s="11"/>
      <c r="G200" s="10"/>
      <c r="H200" s="10"/>
      <c r="I200" s="10"/>
      <c r="J20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31</v>
      </c>
    </row>
    <row r="2" customFormat="false" ht="15" hidden="false" customHeight="false" outlineLevel="0" collapsed="false">
      <c r="A2" s="7" t="s">
        <v>66</v>
      </c>
      <c r="B2" s="8" t="s">
        <v>67</v>
      </c>
      <c r="C2" s="7" t="s">
        <v>68</v>
      </c>
      <c r="D2" s="8" t="s">
        <v>69</v>
      </c>
      <c r="E2" s="7" t="s">
        <v>70</v>
      </c>
      <c r="F2" s="7" t="s">
        <v>71</v>
      </c>
      <c r="G2" s="8" t="s">
        <v>72</v>
      </c>
      <c r="H2" s="8" t="s">
        <v>73</v>
      </c>
      <c r="I2" s="8" t="s">
        <v>74</v>
      </c>
      <c r="J2" s="8" t="s">
        <v>75</v>
      </c>
      <c r="K2" s="12" t="n">
        <v>3000</v>
      </c>
      <c r="L2" s="8" t="s">
        <v>76</v>
      </c>
      <c r="M2" s="8" t="s">
        <v>37</v>
      </c>
    </row>
    <row r="3" customFormat="false" ht="15" hidden="false" customHeight="false" outlineLevel="0" collapsed="false">
      <c r="A3" s="7" t="s">
        <v>77</v>
      </c>
      <c r="B3" s="8" t="s">
        <v>78</v>
      </c>
      <c r="C3" s="7" t="s">
        <v>79</v>
      </c>
      <c r="D3" s="8" t="s">
        <v>80</v>
      </c>
      <c r="E3" s="7" t="s">
        <v>81</v>
      </c>
      <c r="F3" s="7" t="s">
        <v>82</v>
      </c>
      <c r="G3" s="8" t="s">
        <v>83</v>
      </c>
      <c r="H3" s="8" t="s">
        <v>84</v>
      </c>
      <c r="I3" s="8" t="s">
        <v>80</v>
      </c>
      <c r="J3" s="8" t="s">
        <v>85</v>
      </c>
      <c r="K3" s="12" t="n">
        <v>8000</v>
      </c>
      <c r="L3" s="8" t="s">
        <v>86</v>
      </c>
      <c r="M3" s="8" t="s">
        <v>37</v>
      </c>
    </row>
    <row r="4" customFormat="false" ht="15" hidden="false" customHeight="false" outlineLevel="0" collapsed="false">
      <c r="A4" s="7" t="s">
        <v>87</v>
      </c>
      <c r="B4" s="8" t="s">
        <v>88</v>
      </c>
      <c r="C4" s="7" t="s">
        <v>89</v>
      </c>
      <c r="D4" s="8" t="s">
        <v>90</v>
      </c>
      <c r="E4" s="7" t="s">
        <v>91</v>
      </c>
      <c r="F4" s="7" t="s">
        <v>92</v>
      </c>
      <c r="G4" s="8" t="s">
        <v>93</v>
      </c>
      <c r="H4" s="8" t="s">
        <v>94</v>
      </c>
      <c r="I4" s="8" t="s">
        <v>90</v>
      </c>
      <c r="J4" s="8" t="s">
        <v>95</v>
      </c>
      <c r="K4" s="12" t="n">
        <v>0</v>
      </c>
      <c r="L4" s="8" t="s">
        <v>96</v>
      </c>
      <c r="M4" s="8" t="s">
        <v>37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3"/>
      <c r="L5" s="10"/>
      <c r="M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3"/>
      <c r="L6" s="10"/>
      <c r="M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3"/>
      <c r="L7" s="10"/>
      <c r="M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3"/>
      <c r="L8" s="10"/>
      <c r="M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3"/>
      <c r="L9" s="10"/>
      <c r="M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3"/>
      <c r="L10" s="10"/>
      <c r="M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3"/>
      <c r="L11" s="10"/>
      <c r="M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3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3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3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3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3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3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3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3"/>
      <c r="L23" s="10"/>
      <c r="M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3"/>
      <c r="L24" s="10"/>
      <c r="M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3"/>
      <c r="L25" s="10"/>
      <c r="M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3"/>
      <c r="L26" s="10"/>
      <c r="M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3"/>
      <c r="L27" s="10"/>
      <c r="M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3"/>
      <c r="L28" s="10"/>
      <c r="M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3"/>
      <c r="L29" s="10"/>
      <c r="M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3"/>
      <c r="L30" s="10"/>
      <c r="M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3"/>
      <c r="L31" s="10"/>
      <c r="M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3"/>
      <c r="L32" s="10"/>
      <c r="M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3"/>
      <c r="L33" s="10"/>
      <c r="M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3"/>
      <c r="L34" s="10"/>
      <c r="M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3"/>
      <c r="L35" s="10"/>
      <c r="M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3"/>
      <c r="L36" s="10"/>
      <c r="M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3"/>
      <c r="L37" s="10"/>
      <c r="M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3"/>
      <c r="L38" s="10"/>
      <c r="M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3"/>
      <c r="L39" s="10"/>
      <c r="M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3"/>
      <c r="L40" s="10"/>
      <c r="M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3"/>
      <c r="L41" s="10"/>
      <c r="M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3"/>
      <c r="L42" s="10"/>
      <c r="M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3"/>
      <c r="L43" s="10"/>
      <c r="M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3"/>
      <c r="L44" s="10"/>
      <c r="M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3"/>
      <c r="L45" s="10"/>
      <c r="M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3"/>
      <c r="L46" s="10"/>
      <c r="M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3"/>
      <c r="L47" s="10"/>
      <c r="M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3"/>
      <c r="L48" s="10"/>
      <c r="M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3"/>
      <c r="L49" s="10"/>
      <c r="M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3"/>
      <c r="L50" s="10"/>
      <c r="M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3"/>
      <c r="L51" s="10"/>
      <c r="M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3"/>
      <c r="L52" s="10"/>
      <c r="M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3"/>
      <c r="L53" s="10"/>
      <c r="M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3"/>
      <c r="L54" s="10"/>
      <c r="M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3"/>
      <c r="L55" s="10"/>
      <c r="M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3"/>
      <c r="L56" s="10"/>
      <c r="M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3"/>
      <c r="L57" s="10"/>
      <c r="M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3"/>
      <c r="L58" s="10"/>
      <c r="M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3"/>
      <c r="L59" s="10"/>
      <c r="M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3"/>
      <c r="L60" s="10"/>
      <c r="M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3"/>
      <c r="L61" s="10"/>
      <c r="M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3"/>
      <c r="L62" s="10"/>
      <c r="M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3"/>
      <c r="L63" s="10"/>
      <c r="M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3"/>
      <c r="L64" s="10"/>
      <c r="M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3"/>
      <c r="L65" s="10"/>
      <c r="M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3"/>
      <c r="L66" s="10"/>
      <c r="M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3"/>
      <c r="L67" s="10"/>
      <c r="M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3"/>
      <c r="L68" s="10"/>
      <c r="M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3"/>
      <c r="L69" s="10"/>
      <c r="M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3"/>
      <c r="L70" s="10"/>
      <c r="M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3"/>
      <c r="L71" s="10"/>
      <c r="M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3"/>
      <c r="L72" s="10"/>
      <c r="M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3"/>
      <c r="L73" s="10"/>
      <c r="M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3"/>
      <c r="L74" s="10"/>
      <c r="M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3"/>
      <c r="L75" s="10"/>
      <c r="M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3"/>
      <c r="L76" s="10"/>
      <c r="M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3"/>
      <c r="L77" s="10"/>
      <c r="M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3"/>
      <c r="L78" s="10"/>
      <c r="M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3"/>
      <c r="L79" s="10"/>
      <c r="M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3"/>
      <c r="L80" s="10"/>
      <c r="M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3"/>
      <c r="L81" s="10"/>
      <c r="M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3"/>
      <c r="L82" s="10"/>
      <c r="M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3"/>
      <c r="L83" s="10"/>
      <c r="M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3"/>
      <c r="L84" s="10"/>
      <c r="M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3"/>
      <c r="L85" s="10"/>
      <c r="M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3"/>
      <c r="L86" s="10"/>
      <c r="M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3"/>
      <c r="L87" s="10"/>
      <c r="M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3"/>
      <c r="L88" s="10"/>
      <c r="M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3"/>
      <c r="L89" s="10"/>
      <c r="M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3"/>
      <c r="L90" s="10"/>
      <c r="M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3"/>
      <c r="L91" s="10"/>
      <c r="M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3"/>
      <c r="L92" s="10"/>
      <c r="M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3"/>
      <c r="L93" s="10"/>
      <c r="M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3"/>
      <c r="L94" s="10"/>
      <c r="M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3"/>
      <c r="L95" s="10"/>
      <c r="M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3"/>
      <c r="L96" s="10"/>
      <c r="M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3"/>
      <c r="L97" s="10"/>
      <c r="M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3"/>
      <c r="L98" s="10"/>
      <c r="M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3"/>
      <c r="L99" s="10"/>
      <c r="M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3"/>
      <c r="L100" s="10"/>
      <c r="M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3"/>
      <c r="L101" s="10"/>
      <c r="M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3"/>
      <c r="L102" s="10"/>
      <c r="M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3"/>
      <c r="L103" s="10"/>
      <c r="M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3"/>
      <c r="L104" s="10"/>
      <c r="M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3"/>
      <c r="L105" s="10"/>
      <c r="M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3"/>
      <c r="L106" s="10"/>
      <c r="M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10"/>
      <c r="M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10"/>
      <c r="M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10"/>
      <c r="M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10"/>
      <c r="M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10"/>
      <c r="M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10"/>
      <c r="M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10"/>
      <c r="M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10"/>
      <c r="M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10"/>
      <c r="M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10"/>
      <c r="M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10"/>
      <c r="M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10"/>
      <c r="M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10"/>
      <c r="M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10"/>
      <c r="M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10"/>
      <c r="M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3"/>
      <c r="L122" s="10"/>
      <c r="M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3"/>
      <c r="L123" s="10"/>
      <c r="M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3"/>
      <c r="L124" s="10"/>
      <c r="M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3"/>
      <c r="L125" s="10"/>
      <c r="M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3"/>
      <c r="L126" s="10"/>
      <c r="M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3"/>
      <c r="L127" s="10"/>
      <c r="M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3"/>
      <c r="L128" s="10"/>
      <c r="M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3"/>
      <c r="L129" s="10"/>
      <c r="M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3"/>
      <c r="L130" s="10"/>
      <c r="M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3"/>
      <c r="L131" s="10"/>
      <c r="M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3"/>
      <c r="L132" s="10"/>
      <c r="M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3"/>
      <c r="L133" s="10"/>
      <c r="M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3"/>
      <c r="L134" s="10"/>
      <c r="M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3"/>
      <c r="L135" s="10"/>
      <c r="M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3"/>
      <c r="L136" s="10"/>
      <c r="M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3"/>
      <c r="L137" s="10"/>
      <c r="M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3"/>
      <c r="L138" s="10"/>
      <c r="M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3"/>
      <c r="L139" s="10"/>
      <c r="M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3"/>
      <c r="L140" s="10"/>
      <c r="M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3"/>
      <c r="L141" s="10"/>
      <c r="M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3"/>
      <c r="L142" s="10"/>
      <c r="M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3"/>
      <c r="L143" s="10"/>
      <c r="M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3"/>
      <c r="L144" s="10"/>
      <c r="M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3"/>
      <c r="L145" s="10"/>
      <c r="M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3"/>
      <c r="L146" s="10"/>
      <c r="M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3"/>
      <c r="L147" s="10"/>
      <c r="M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3"/>
      <c r="L148" s="10"/>
      <c r="M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3"/>
      <c r="L149" s="10"/>
      <c r="M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3"/>
      <c r="L150" s="10"/>
      <c r="M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3"/>
      <c r="L151" s="10"/>
      <c r="M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3"/>
      <c r="L152" s="10"/>
      <c r="M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3"/>
      <c r="L153" s="10"/>
      <c r="M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3"/>
      <c r="L154" s="10"/>
      <c r="M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3"/>
      <c r="L155" s="10"/>
      <c r="M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3"/>
      <c r="L156" s="10"/>
      <c r="M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3"/>
      <c r="L157" s="10"/>
      <c r="M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3"/>
      <c r="L158" s="10"/>
      <c r="M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3"/>
      <c r="L159" s="10"/>
      <c r="M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3"/>
      <c r="L160" s="10"/>
      <c r="M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3"/>
      <c r="L161" s="10"/>
      <c r="M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3"/>
      <c r="L162" s="10"/>
      <c r="M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3"/>
      <c r="L163" s="10"/>
      <c r="M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3"/>
      <c r="L164" s="10"/>
      <c r="M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3"/>
      <c r="L165" s="10"/>
      <c r="M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3"/>
      <c r="L166" s="10"/>
      <c r="M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3"/>
      <c r="L167" s="10"/>
      <c r="M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3"/>
      <c r="L168" s="10"/>
      <c r="M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3"/>
      <c r="L169" s="10"/>
      <c r="M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3"/>
      <c r="L170" s="10"/>
      <c r="M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3"/>
      <c r="L171" s="10"/>
      <c r="M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3"/>
      <c r="L172" s="10"/>
      <c r="M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3"/>
      <c r="L173" s="10"/>
      <c r="M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3"/>
      <c r="L174" s="10"/>
      <c r="M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3"/>
      <c r="L175" s="10"/>
      <c r="M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3"/>
      <c r="L176" s="10"/>
      <c r="M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3"/>
      <c r="L177" s="10"/>
      <c r="M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3"/>
      <c r="L178" s="10"/>
      <c r="M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3"/>
      <c r="L179" s="10"/>
      <c r="M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3"/>
      <c r="L180" s="10"/>
      <c r="M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3"/>
      <c r="L181" s="10"/>
      <c r="M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3"/>
      <c r="L182" s="10"/>
      <c r="M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3"/>
      <c r="L183" s="10"/>
      <c r="M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3"/>
      <c r="L184" s="10"/>
      <c r="M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3"/>
      <c r="L185" s="10"/>
      <c r="M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3"/>
      <c r="L186" s="10"/>
      <c r="M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3"/>
      <c r="L187" s="10"/>
      <c r="M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3"/>
      <c r="L188" s="10"/>
      <c r="M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3"/>
      <c r="L189" s="10"/>
      <c r="M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3"/>
      <c r="L190" s="10"/>
      <c r="M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3"/>
      <c r="L191" s="10"/>
      <c r="M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3"/>
      <c r="L192" s="10"/>
      <c r="M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3"/>
      <c r="L193" s="10"/>
      <c r="M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3"/>
      <c r="L194" s="10"/>
      <c r="M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3"/>
      <c r="L195" s="10"/>
      <c r="M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3"/>
      <c r="L196" s="10"/>
      <c r="M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3"/>
      <c r="L197" s="10"/>
      <c r="M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3"/>
      <c r="L198" s="10"/>
      <c r="M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3"/>
      <c r="L199" s="10"/>
      <c r="M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3"/>
      <c r="L200" s="10"/>
      <c r="M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"/>
      <c r="L201" s="10"/>
      <c r="M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"/>
      <c r="L202" s="10"/>
      <c r="M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"/>
      <c r="L203" s="10"/>
      <c r="M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"/>
      <c r="L204" s="10"/>
      <c r="M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"/>
      <c r="L205" s="10"/>
      <c r="M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"/>
      <c r="L206" s="10"/>
      <c r="M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"/>
      <c r="L207" s="10"/>
      <c r="M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"/>
      <c r="L208" s="10"/>
      <c r="M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"/>
      <c r="L209" s="10"/>
      <c r="M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"/>
      <c r="L210" s="10"/>
      <c r="M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"/>
      <c r="L211" s="10"/>
      <c r="M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"/>
      <c r="L212" s="10"/>
      <c r="M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"/>
      <c r="L213" s="10"/>
      <c r="M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"/>
      <c r="L214" s="10"/>
      <c r="M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"/>
      <c r="L215" s="10"/>
      <c r="M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"/>
      <c r="L216" s="10"/>
      <c r="M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"/>
      <c r="L217" s="10"/>
      <c r="M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"/>
      <c r="L218" s="10"/>
      <c r="M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"/>
      <c r="L219" s="10"/>
      <c r="M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"/>
      <c r="L220" s="10"/>
      <c r="M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"/>
      <c r="L221" s="10"/>
      <c r="M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"/>
      <c r="L222" s="10"/>
      <c r="M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"/>
      <c r="L223" s="10"/>
      <c r="M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"/>
      <c r="L224" s="10"/>
      <c r="M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"/>
      <c r="L225" s="10"/>
      <c r="M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"/>
      <c r="L226" s="10"/>
      <c r="M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"/>
      <c r="L227" s="10"/>
      <c r="M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"/>
      <c r="L228" s="10"/>
      <c r="M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"/>
      <c r="L229" s="10"/>
      <c r="M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"/>
      <c r="L230" s="10"/>
      <c r="M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"/>
      <c r="L231" s="10"/>
      <c r="M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"/>
      <c r="L232" s="10"/>
      <c r="M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"/>
      <c r="L233" s="10"/>
      <c r="M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"/>
      <c r="L234" s="10"/>
      <c r="M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"/>
      <c r="L235" s="10"/>
      <c r="M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"/>
      <c r="L236" s="10"/>
      <c r="M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"/>
      <c r="L237" s="10"/>
      <c r="M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"/>
      <c r="L238" s="10"/>
      <c r="M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"/>
      <c r="L239" s="10"/>
      <c r="M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"/>
      <c r="L240" s="10"/>
      <c r="M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"/>
      <c r="L241" s="10"/>
      <c r="M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"/>
      <c r="L242" s="10"/>
      <c r="M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"/>
      <c r="L243" s="10"/>
      <c r="M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"/>
      <c r="L244" s="10"/>
      <c r="M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"/>
      <c r="L245" s="10"/>
      <c r="M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"/>
      <c r="L246" s="10"/>
      <c r="M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"/>
      <c r="L247" s="10"/>
      <c r="M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"/>
      <c r="L248" s="10"/>
      <c r="M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"/>
      <c r="L249" s="10"/>
      <c r="M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"/>
      <c r="L250" s="10"/>
      <c r="M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"/>
      <c r="L251" s="10"/>
      <c r="M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"/>
      <c r="L252" s="10"/>
      <c r="M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"/>
      <c r="L253" s="10"/>
      <c r="M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"/>
      <c r="L254" s="10"/>
      <c r="M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"/>
      <c r="L255" s="10"/>
      <c r="M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"/>
      <c r="L256" s="10"/>
      <c r="M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"/>
      <c r="L257" s="10"/>
      <c r="M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"/>
      <c r="L258" s="10"/>
      <c r="M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"/>
      <c r="L259" s="10"/>
      <c r="M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"/>
      <c r="L260" s="10"/>
      <c r="M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"/>
      <c r="L261" s="10"/>
      <c r="M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"/>
      <c r="L262" s="10"/>
      <c r="M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"/>
      <c r="L263" s="10"/>
      <c r="M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"/>
      <c r="L264" s="10"/>
      <c r="M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"/>
      <c r="L265" s="10"/>
      <c r="M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"/>
      <c r="L266" s="10"/>
      <c r="M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"/>
      <c r="L267" s="10"/>
      <c r="M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"/>
      <c r="L268" s="10"/>
      <c r="M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"/>
      <c r="L269" s="10"/>
      <c r="M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"/>
      <c r="L270" s="10"/>
      <c r="M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"/>
      <c r="L271" s="10"/>
      <c r="M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"/>
      <c r="L272" s="10"/>
      <c r="M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"/>
      <c r="L273" s="10"/>
      <c r="M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"/>
      <c r="L274" s="10"/>
      <c r="M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"/>
      <c r="L275" s="10"/>
      <c r="M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"/>
      <c r="L276" s="10"/>
      <c r="M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"/>
      <c r="L277" s="10"/>
      <c r="M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"/>
      <c r="L278" s="10"/>
      <c r="M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"/>
      <c r="L279" s="10"/>
      <c r="M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"/>
      <c r="L280" s="10"/>
      <c r="M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"/>
      <c r="L281" s="10"/>
      <c r="M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"/>
      <c r="L282" s="10"/>
      <c r="M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"/>
      <c r="L283" s="10"/>
      <c r="M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"/>
      <c r="L284" s="10"/>
      <c r="M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"/>
      <c r="L285" s="10"/>
      <c r="M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"/>
      <c r="L286" s="10"/>
      <c r="M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"/>
      <c r="L287" s="10"/>
      <c r="M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"/>
      <c r="L288" s="10"/>
      <c r="M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"/>
      <c r="L289" s="10"/>
      <c r="M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"/>
      <c r="L290" s="10"/>
      <c r="M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"/>
      <c r="L291" s="10"/>
      <c r="M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"/>
      <c r="L292" s="10"/>
      <c r="M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"/>
      <c r="L293" s="10"/>
      <c r="M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"/>
      <c r="L294" s="10"/>
      <c r="M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"/>
      <c r="L295" s="10"/>
      <c r="M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"/>
      <c r="L296" s="10"/>
      <c r="M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"/>
      <c r="L297" s="10"/>
      <c r="M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"/>
      <c r="L298" s="10"/>
      <c r="M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"/>
      <c r="L299" s="10"/>
      <c r="M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"/>
      <c r="L300" s="10"/>
      <c r="M300" s="10"/>
    </row>
  </sheetData>
  <dataValidations count="2">
    <dataValidation allowBlank="true" errorStyle="stop" operator="between" showDropDown="false" showErrorMessage="false" showInputMessage="false" sqref="C2:C300" type="list">
      <formula1>"A,B,C"</formula1>
      <formula2>0</formula2>
    </dataValidation>
    <dataValidation allowBlank="true" errorStyle="stop" operator="between" showDropDown="false" showErrorMessage="false" showInputMessage="false" sqref="J2:J300" type="list">
      <formula1>"现结,周结,半月结,月结"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6" t="s">
        <v>97</v>
      </c>
      <c r="B1" s="6" t="s">
        <v>98</v>
      </c>
      <c r="C1" s="6" t="s">
        <v>99</v>
      </c>
      <c r="D1" s="6" t="s">
        <v>23</v>
      </c>
      <c r="E1" s="6" t="s">
        <v>24</v>
      </c>
      <c r="F1" s="6" t="s">
        <v>100</v>
      </c>
      <c r="G1" s="6" t="s">
        <v>25</v>
      </c>
      <c r="H1" s="6" t="s">
        <v>101</v>
      </c>
      <c r="I1" s="6" t="s">
        <v>102</v>
      </c>
      <c r="J1" s="6" t="s">
        <v>103</v>
      </c>
      <c r="K1" s="6" t="s">
        <v>31</v>
      </c>
      <c r="L1" s="6" t="s">
        <v>104</v>
      </c>
    </row>
    <row r="2" customFormat="false" ht="15" hidden="false" customHeight="false" outlineLevel="0" collapsed="false">
      <c r="A2" s="7" t="s">
        <v>105</v>
      </c>
      <c r="B2" s="7" t="s">
        <v>106</v>
      </c>
      <c r="C2" s="8" t="s">
        <v>67</v>
      </c>
      <c r="D2" s="8" t="s">
        <v>33</v>
      </c>
      <c r="E2" s="7" t="s">
        <v>34</v>
      </c>
      <c r="F2" s="8" t="n">
        <v>2</v>
      </c>
      <c r="G2" s="8" t="s">
        <v>35</v>
      </c>
      <c r="H2" s="9" t="n">
        <v>55</v>
      </c>
      <c r="I2" s="9" t="n">
        <f aca="false">IF(F2="","",F2*H2)</f>
        <v>110</v>
      </c>
      <c r="J2" s="8" t="s">
        <v>73</v>
      </c>
      <c r="K2" s="8" t="s">
        <v>37</v>
      </c>
      <c r="L2" s="8" t="s">
        <v>107</v>
      </c>
    </row>
    <row r="3" customFormat="false" ht="15" hidden="false" customHeight="false" outlineLevel="0" collapsed="false">
      <c r="A3" s="7" t="s">
        <v>105</v>
      </c>
      <c r="B3" s="7" t="s">
        <v>106</v>
      </c>
      <c r="C3" s="8" t="s">
        <v>67</v>
      </c>
      <c r="D3" s="8" t="s">
        <v>39</v>
      </c>
      <c r="E3" s="7" t="s">
        <v>40</v>
      </c>
      <c r="F3" s="8" t="n">
        <v>1</v>
      </c>
      <c r="G3" s="8" t="s">
        <v>41</v>
      </c>
      <c r="H3" s="9" t="n">
        <v>35</v>
      </c>
      <c r="I3" s="9" t="n">
        <f aca="false">IF(F3="","",F3*H3)</f>
        <v>35</v>
      </c>
      <c r="J3" s="8" t="s">
        <v>73</v>
      </c>
      <c r="K3" s="8" t="s">
        <v>37</v>
      </c>
      <c r="L3" s="8" t="s">
        <v>107</v>
      </c>
    </row>
    <row r="4" customFormat="false" ht="15" hidden="false" customHeight="false" outlineLevel="0" collapsed="false">
      <c r="A4" s="7" t="s">
        <v>105</v>
      </c>
      <c r="B4" s="7" t="s">
        <v>108</v>
      </c>
      <c r="C4" s="8" t="s">
        <v>78</v>
      </c>
      <c r="D4" s="8" t="s">
        <v>48</v>
      </c>
      <c r="E4" s="7" t="s">
        <v>49</v>
      </c>
      <c r="F4" s="8" t="n">
        <v>3</v>
      </c>
      <c r="G4" s="8" t="s">
        <v>35</v>
      </c>
      <c r="H4" s="9" t="n">
        <v>130</v>
      </c>
      <c r="I4" s="9" t="n">
        <f aca="false">IF(F4="","",F4*H4)</f>
        <v>390</v>
      </c>
      <c r="J4" s="8" t="s">
        <v>84</v>
      </c>
      <c r="K4" s="8" t="s">
        <v>37</v>
      </c>
      <c r="L4" s="8" t="s">
        <v>107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1"/>
      <c r="I5" s="11" t="str">
        <f aca="false">IF(F5="","",F5*H5)</f>
        <v/>
      </c>
      <c r="J5" s="10"/>
      <c r="K5" s="10"/>
      <c r="L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1"/>
      <c r="I6" s="11" t="str">
        <f aca="false">IF(F6="","",F6*H6)</f>
        <v/>
      </c>
      <c r="J6" s="10"/>
      <c r="K6" s="10"/>
      <c r="L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1"/>
      <c r="I7" s="11" t="str">
        <f aca="false">IF(F7="","",F7*H7)</f>
        <v/>
      </c>
      <c r="J7" s="10"/>
      <c r="K7" s="10"/>
      <c r="L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1"/>
      <c r="I8" s="11" t="str">
        <f aca="false">IF(F8="","",F8*H8)</f>
        <v/>
      </c>
      <c r="J8" s="10"/>
      <c r="K8" s="10"/>
      <c r="L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1"/>
      <c r="I9" s="11" t="str">
        <f aca="false">IF(F9="","",F9*H9)</f>
        <v/>
      </c>
      <c r="J9" s="10"/>
      <c r="K9" s="10"/>
      <c r="L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1"/>
      <c r="I10" s="11" t="str">
        <f aca="false">IF(F10="","",F10*H10)</f>
        <v/>
      </c>
      <c r="J10" s="10"/>
      <c r="K10" s="10"/>
      <c r="L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/>
      <c r="I11" s="11" t="str">
        <f aca="false">IF(F11="","",F11*H11)</f>
        <v/>
      </c>
      <c r="J11" s="10"/>
      <c r="K11" s="10"/>
      <c r="L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1"/>
      <c r="I12" s="11" t="str">
        <f aca="false">IF(F12="","",F12*H12)</f>
        <v/>
      </c>
      <c r="J12" s="10"/>
      <c r="K12" s="10"/>
      <c r="L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/>
      <c r="I13" s="11" t="str">
        <f aca="false">IF(F13="","",F13*H13)</f>
        <v/>
      </c>
      <c r="J13" s="10"/>
      <c r="K13" s="10"/>
      <c r="L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1"/>
      <c r="I14" s="11" t="str">
        <f aca="false">IF(F14="","",F14*H14)</f>
        <v/>
      </c>
      <c r="J14" s="10"/>
      <c r="K14" s="10"/>
      <c r="L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1"/>
      <c r="I15" s="11" t="str">
        <f aca="false">IF(F15="","",F15*H15)</f>
        <v/>
      </c>
      <c r="J15" s="10"/>
      <c r="K15" s="10"/>
      <c r="L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1"/>
      <c r="I16" s="11" t="str">
        <f aca="false">IF(F16="","",F16*H16)</f>
        <v/>
      </c>
      <c r="J16" s="10"/>
      <c r="K16" s="10"/>
      <c r="L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1"/>
      <c r="I17" s="11" t="str">
        <f aca="false">IF(F17="","",F17*H17)</f>
        <v/>
      </c>
      <c r="J17" s="10"/>
      <c r="K17" s="10"/>
      <c r="L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1"/>
      <c r="I18" s="11" t="str">
        <f aca="false">IF(F18="","",F18*H18)</f>
        <v/>
      </c>
      <c r="J18" s="10"/>
      <c r="K18" s="10"/>
      <c r="L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1"/>
      <c r="I19" s="11" t="str">
        <f aca="false">IF(F19="","",F19*H19)</f>
        <v/>
      </c>
      <c r="J19" s="10"/>
      <c r="K19" s="10"/>
      <c r="L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1"/>
      <c r="I20" s="11" t="str">
        <f aca="false">IF(F20="","",F20*H20)</f>
        <v/>
      </c>
      <c r="J20" s="10"/>
      <c r="K20" s="10"/>
      <c r="L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1"/>
      <c r="I21" s="11" t="str">
        <f aca="false">IF(F21="","",F21*H21)</f>
        <v/>
      </c>
      <c r="J21" s="10"/>
      <c r="K21" s="10"/>
      <c r="L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1"/>
      <c r="I22" s="11" t="str">
        <f aca="false">IF(F22="","",F22*H22)</f>
        <v/>
      </c>
      <c r="J22" s="10"/>
      <c r="K22" s="10"/>
      <c r="L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1"/>
      <c r="I23" s="11" t="str">
        <f aca="false">IF(F23="","",F23*H23)</f>
        <v/>
      </c>
      <c r="J23" s="10"/>
      <c r="K23" s="10"/>
      <c r="L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1"/>
      <c r="I24" s="11" t="str">
        <f aca="false">IF(F24="","",F24*H24)</f>
        <v/>
      </c>
      <c r="J24" s="10"/>
      <c r="K24" s="10"/>
      <c r="L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1"/>
      <c r="I25" s="11" t="str">
        <f aca="false">IF(F25="","",F25*H25)</f>
        <v/>
      </c>
      <c r="J25" s="10"/>
      <c r="K25" s="10"/>
      <c r="L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1"/>
      <c r="I26" s="11" t="str">
        <f aca="false">IF(F26="","",F26*H26)</f>
        <v/>
      </c>
      <c r="J26" s="10"/>
      <c r="K26" s="10"/>
      <c r="L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1"/>
      <c r="I27" s="11" t="str">
        <f aca="false">IF(F27="","",F27*H27)</f>
        <v/>
      </c>
      <c r="J27" s="10"/>
      <c r="K27" s="10"/>
      <c r="L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1"/>
      <c r="I28" s="11" t="str">
        <f aca="false">IF(F28="","",F28*H28)</f>
        <v/>
      </c>
      <c r="J28" s="10"/>
      <c r="K28" s="10"/>
      <c r="L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1"/>
      <c r="I29" s="11" t="str">
        <f aca="false">IF(F29="","",F29*H29)</f>
        <v/>
      </c>
      <c r="J29" s="10"/>
      <c r="K29" s="10"/>
      <c r="L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1"/>
      <c r="I30" s="11" t="str">
        <f aca="false">IF(F30="","",F30*H30)</f>
        <v/>
      </c>
      <c r="J30" s="10"/>
      <c r="K30" s="10"/>
      <c r="L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1"/>
      <c r="I31" s="11" t="str">
        <f aca="false">IF(F31="","",F31*H31)</f>
        <v/>
      </c>
      <c r="J31" s="10"/>
      <c r="K31" s="10"/>
      <c r="L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1"/>
      <c r="I32" s="11" t="str">
        <f aca="false">IF(F32="","",F32*H32)</f>
        <v/>
      </c>
      <c r="J32" s="10"/>
      <c r="K32" s="10"/>
      <c r="L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1"/>
      <c r="I33" s="11" t="str">
        <f aca="false">IF(F33="","",F33*H33)</f>
        <v/>
      </c>
      <c r="J33" s="10"/>
      <c r="K33" s="10"/>
      <c r="L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1"/>
      <c r="I34" s="11" t="str">
        <f aca="false">IF(F34="","",F34*H34)</f>
        <v/>
      </c>
      <c r="J34" s="10"/>
      <c r="K34" s="10"/>
      <c r="L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1"/>
      <c r="I35" s="11" t="str">
        <f aca="false">IF(F35="","",F35*H35)</f>
        <v/>
      </c>
      <c r="J35" s="10"/>
      <c r="K35" s="10"/>
      <c r="L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1"/>
      <c r="I36" s="11" t="str">
        <f aca="false">IF(F36="","",F36*H36)</f>
        <v/>
      </c>
      <c r="J36" s="10"/>
      <c r="K36" s="10"/>
      <c r="L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1"/>
      <c r="I37" s="11" t="str">
        <f aca="false">IF(F37="","",F37*H37)</f>
        <v/>
      </c>
      <c r="J37" s="10"/>
      <c r="K37" s="10"/>
      <c r="L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1"/>
      <c r="I38" s="11" t="str">
        <f aca="false">IF(F38="","",F38*H38)</f>
        <v/>
      </c>
      <c r="J38" s="10"/>
      <c r="K38" s="10"/>
      <c r="L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1"/>
      <c r="I39" s="11" t="str">
        <f aca="false">IF(F39="","",F39*H39)</f>
        <v/>
      </c>
      <c r="J39" s="10"/>
      <c r="K39" s="10"/>
      <c r="L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1"/>
      <c r="I40" s="11" t="str">
        <f aca="false">IF(F40="","",F40*H40)</f>
        <v/>
      </c>
      <c r="J40" s="10"/>
      <c r="K40" s="10"/>
      <c r="L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1"/>
      <c r="I41" s="11" t="str">
        <f aca="false">IF(F41="","",F41*H41)</f>
        <v/>
      </c>
      <c r="J41" s="10"/>
      <c r="K41" s="10"/>
      <c r="L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1"/>
      <c r="I42" s="11" t="str">
        <f aca="false">IF(F42="","",F42*H42)</f>
        <v/>
      </c>
      <c r="J42" s="10"/>
      <c r="K42" s="10"/>
      <c r="L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1"/>
      <c r="I43" s="11" t="str">
        <f aca="false">IF(F43="","",F43*H43)</f>
        <v/>
      </c>
      <c r="J43" s="10"/>
      <c r="K43" s="10"/>
      <c r="L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1"/>
      <c r="I44" s="11" t="str">
        <f aca="false">IF(F44="","",F44*H44)</f>
        <v/>
      </c>
      <c r="J44" s="10"/>
      <c r="K44" s="10"/>
      <c r="L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1"/>
      <c r="I45" s="11" t="str">
        <f aca="false">IF(F45="","",F45*H45)</f>
        <v/>
      </c>
      <c r="J45" s="10"/>
      <c r="K45" s="10"/>
      <c r="L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1"/>
      <c r="I46" s="11" t="str">
        <f aca="false">IF(F46="","",F46*H46)</f>
        <v/>
      </c>
      <c r="J46" s="10"/>
      <c r="K46" s="10"/>
      <c r="L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1"/>
      <c r="I47" s="11" t="str">
        <f aca="false">IF(F47="","",F47*H47)</f>
        <v/>
      </c>
      <c r="J47" s="10"/>
      <c r="K47" s="10"/>
      <c r="L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1"/>
      <c r="I48" s="11" t="str">
        <f aca="false">IF(F48="","",F48*H48)</f>
        <v/>
      </c>
      <c r="J48" s="10"/>
      <c r="K48" s="10"/>
      <c r="L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1"/>
      <c r="I49" s="11" t="str">
        <f aca="false">IF(F49="","",F49*H49)</f>
        <v/>
      </c>
      <c r="J49" s="10"/>
      <c r="K49" s="10"/>
      <c r="L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1"/>
      <c r="I50" s="11" t="str">
        <f aca="false">IF(F50="","",F50*H50)</f>
        <v/>
      </c>
      <c r="J50" s="10"/>
      <c r="K50" s="10"/>
      <c r="L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1"/>
      <c r="I51" s="11" t="str">
        <f aca="false">IF(F51="","",F51*H51)</f>
        <v/>
      </c>
      <c r="J51" s="10"/>
      <c r="K51" s="10"/>
      <c r="L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1"/>
      <c r="I52" s="11" t="str">
        <f aca="false">IF(F52="","",F52*H52)</f>
        <v/>
      </c>
      <c r="J52" s="10"/>
      <c r="K52" s="10"/>
      <c r="L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1"/>
      <c r="I53" s="11" t="str">
        <f aca="false">IF(F53="","",F53*H53)</f>
        <v/>
      </c>
      <c r="J53" s="10"/>
      <c r="K53" s="10"/>
      <c r="L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1"/>
      <c r="I54" s="11" t="str">
        <f aca="false">IF(F54="","",F54*H54)</f>
        <v/>
      </c>
      <c r="J54" s="10"/>
      <c r="K54" s="10"/>
      <c r="L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1"/>
      <c r="I55" s="11" t="str">
        <f aca="false">IF(F55="","",F55*H55)</f>
        <v/>
      </c>
      <c r="J55" s="10"/>
      <c r="K55" s="10"/>
      <c r="L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1"/>
      <c r="I56" s="11" t="str">
        <f aca="false">IF(F56="","",F56*H56)</f>
        <v/>
      </c>
      <c r="J56" s="10"/>
      <c r="K56" s="10"/>
      <c r="L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1"/>
      <c r="I57" s="11" t="str">
        <f aca="false">IF(F57="","",F57*H57)</f>
        <v/>
      </c>
      <c r="J57" s="10"/>
      <c r="K57" s="10"/>
      <c r="L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1"/>
      <c r="I58" s="11" t="str">
        <f aca="false">IF(F58="","",F58*H58)</f>
        <v/>
      </c>
      <c r="J58" s="10"/>
      <c r="K58" s="10"/>
      <c r="L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1"/>
      <c r="I59" s="11" t="str">
        <f aca="false">IF(F59="","",F59*H59)</f>
        <v/>
      </c>
      <c r="J59" s="10"/>
      <c r="K59" s="10"/>
      <c r="L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1"/>
      <c r="I60" s="11" t="str">
        <f aca="false">IF(F60="","",F60*H60)</f>
        <v/>
      </c>
      <c r="J60" s="10"/>
      <c r="K60" s="10"/>
      <c r="L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1"/>
      <c r="I61" s="11" t="str">
        <f aca="false">IF(F61="","",F61*H61)</f>
        <v/>
      </c>
      <c r="J61" s="10"/>
      <c r="K61" s="10"/>
      <c r="L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1"/>
      <c r="I62" s="11" t="str">
        <f aca="false">IF(F62="","",F62*H62)</f>
        <v/>
      </c>
      <c r="J62" s="10"/>
      <c r="K62" s="10"/>
      <c r="L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1"/>
      <c r="I63" s="11" t="str">
        <f aca="false">IF(F63="","",F63*H63)</f>
        <v/>
      </c>
      <c r="J63" s="10"/>
      <c r="K63" s="10"/>
      <c r="L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1"/>
      <c r="I64" s="11" t="str">
        <f aca="false">IF(F64="","",F64*H64)</f>
        <v/>
      </c>
      <c r="J64" s="10"/>
      <c r="K64" s="10"/>
      <c r="L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1"/>
      <c r="I65" s="11" t="str">
        <f aca="false">IF(F65="","",F65*H65)</f>
        <v/>
      </c>
      <c r="J65" s="10"/>
      <c r="K65" s="10"/>
      <c r="L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1"/>
      <c r="I66" s="11" t="str">
        <f aca="false">IF(F66="","",F66*H66)</f>
        <v/>
      </c>
      <c r="J66" s="10"/>
      <c r="K66" s="10"/>
      <c r="L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1"/>
      <c r="I67" s="11" t="str">
        <f aca="false">IF(F67="","",F67*H67)</f>
        <v/>
      </c>
      <c r="J67" s="10"/>
      <c r="K67" s="10"/>
      <c r="L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1"/>
      <c r="I68" s="11" t="str">
        <f aca="false">IF(F68="","",F68*H68)</f>
        <v/>
      </c>
      <c r="J68" s="10"/>
      <c r="K68" s="10"/>
      <c r="L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1"/>
      <c r="I69" s="11" t="str">
        <f aca="false">IF(F69="","",F69*H69)</f>
        <v/>
      </c>
      <c r="J69" s="10"/>
      <c r="K69" s="10"/>
      <c r="L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1"/>
      <c r="I70" s="11" t="str">
        <f aca="false">IF(F70="","",F70*H70)</f>
        <v/>
      </c>
      <c r="J70" s="10"/>
      <c r="K70" s="10"/>
      <c r="L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1"/>
      <c r="I71" s="11" t="str">
        <f aca="false">IF(F71="","",F71*H71)</f>
        <v/>
      </c>
      <c r="J71" s="10"/>
      <c r="K71" s="10"/>
      <c r="L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1"/>
      <c r="I72" s="11" t="str">
        <f aca="false">IF(F72="","",F72*H72)</f>
        <v/>
      </c>
      <c r="J72" s="10"/>
      <c r="K72" s="10"/>
      <c r="L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1"/>
      <c r="I73" s="11" t="str">
        <f aca="false">IF(F73="","",F73*H73)</f>
        <v/>
      </c>
      <c r="J73" s="10"/>
      <c r="K73" s="10"/>
      <c r="L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1"/>
      <c r="I74" s="11" t="str">
        <f aca="false">IF(F74="","",F74*H74)</f>
        <v/>
      </c>
      <c r="J74" s="10"/>
      <c r="K74" s="10"/>
      <c r="L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1"/>
      <c r="I75" s="11" t="str">
        <f aca="false">IF(F75="","",F75*H75)</f>
        <v/>
      </c>
      <c r="J75" s="10"/>
      <c r="K75" s="10"/>
      <c r="L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1"/>
      <c r="I76" s="11" t="str">
        <f aca="false">IF(F76="","",F76*H76)</f>
        <v/>
      </c>
      <c r="J76" s="10"/>
      <c r="K76" s="10"/>
      <c r="L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1"/>
      <c r="I77" s="11" t="str">
        <f aca="false">IF(F77="","",F77*H77)</f>
        <v/>
      </c>
      <c r="J77" s="10"/>
      <c r="K77" s="10"/>
      <c r="L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1"/>
      <c r="I78" s="11" t="str">
        <f aca="false">IF(F78="","",F78*H78)</f>
        <v/>
      </c>
      <c r="J78" s="10"/>
      <c r="K78" s="10"/>
      <c r="L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1"/>
      <c r="I79" s="11" t="str">
        <f aca="false">IF(F79="","",F79*H79)</f>
        <v/>
      </c>
      <c r="J79" s="10"/>
      <c r="K79" s="10"/>
      <c r="L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1"/>
      <c r="I80" s="11" t="str">
        <f aca="false">IF(F80="","",F80*H80)</f>
        <v/>
      </c>
      <c r="J80" s="10"/>
      <c r="K80" s="10"/>
      <c r="L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1"/>
      <c r="I81" s="11" t="str">
        <f aca="false">IF(F81="","",F81*H81)</f>
        <v/>
      </c>
      <c r="J81" s="10"/>
      <c r="K81" s="10"/>
      <c r="L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1"/>
      <c r="I82" s="11" t="str">
        <f aca="false">IF(F82="","",F82*H82)</f>
        <v/>
      </c>
      <c r="J82" s="10"/>
      <c r="K82" s="10"/>
      <c r="L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1"/>
      <c r="I83" s="11" t="str">
        <f aca="false">IF(F83="","",F83*H83)</f>
        <v/>
      </c>
      <c r="J83" s="10"/>
      <c r="K83" s="10"/>
      <c r="L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1"/>
      <c r="I84" s="11" t="str">
        <f aca="false">IF(F84="","",F84*H84)</f>
        <v/>
      </c>
      <c r="J84" s="10"/>
      <c r="K84" s="10"/>
      <c r="L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1"/>
      <c r="I85" s="11" t="str">
        <f aca="false">IF(F85="","",F85*H85)</f>
        <v/>
      </c>
      <c r="J85" s="10"/>
      <c r="K85" s="10"/>
      <c r="L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1"/>
      <c r="I86" s="11" t="str">
        <f aca="false">IF(F86="","",F86*H86)</f>
        <v/>
      </c>
      <c r="J86" s="10"/>
      <c r="K86" s="10"/>
      <c r="L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1"/>
      <c r="I87" s="11" t="str">
        <f aca="false">IF(F87="","",F87*H87)</f>
        <v/>
      </c>
      <c r="J87" s="10"/>
      <c r="K87" s="10"/>
      <c r="L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1"/>
      <c r="I88" s="11" t="str">
        <f aca="false">IF(F88="","",F88*H88)</f>
        <v/>
      </c>
      <c r="J88" s="10"/>
      <c r="K88" s="10"/>
      <c r="L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1"/>
      <c r="I89" s="11" t="str">
        <f aca="false">IF(F89="","",F89*H89)</f>
        <v/>
      </c>
      <c r="J89" s="10"/>
      <c r="K89" s="10"/>
      <c r="L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1"/>
      <c r="I90" s="11" t="str">
        <f aca="false">IF(F90="","",F90*H90)</f>
        <v/>
      </c>
      <c r="J90" s="10"/>
      <c r="K90" s="10"/>
      <c r="L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1"/>
      <c r="I91" s="11" t="str">
        <f aca="false">IF(F91="","",F91*H91)</f>
        <v/>
      </c>
      <c r="J91" s="10"/>
      <c r="K91" s="10"/>
      <c r="L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1"/>
      <c r="I92" s="11" t="str">
        <f aca="false">IF(F92="","",F92*H92)</f>
        <v/>
      </c>
      <c r="J92" s="10"/>
      <c r="K92" s="10"/>
      <c r="L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1"/>
      <c r="I93" s="11" t="str">
        <f aca="false">IF(F93="","",F93*H93)</f>
        <v/>
      </c>
      <c r="J93" s="10"/>
      <c r="K93" s="10"/>
      <c r="L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1"/>
      <c r="I94" s="11" t="str">
        <f aca="false">IF(F94="","",F94*H94)</f>
        <v/>
      </c>
      <c r="J94" s="10"/>
      <c r="K94" s="10"/>
      <c r="L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1"/>
      <c r="I95" s="11" t="str">
        <f aca="false">IF(F95="","",F95*H95)</f>
        <v/>
      </c>
      <c r="J95" s="10"/>
      <c r="K95" s="10"/>
      <c r="L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1"/>
      <c r="I96" s="11" t="str">
        <f aca="false">IF(F96="","",F96*H96)</f>
        <v/>
      </c>
      <c r="J96" s="10"/>
      <c r="K96" s="10"/>
      <c r="L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1"/>
      <c r="I97" s="11" t="str">
        <f aca="false">IF(F97="","",F97*H97)</f>
        <v/>
      </c>
      <c r="J97" s="10"/>
      <c r="K97" s="10"/>
      <c r="L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1"/>
      <c r="I98" s="11" t="str">
        <f aca="false">IF(F98="","",F98*H98)</f>
        <v/>
      </c>
      <c r="J98" s="10"/>
      <c r="K98" s="10"/>
      <c r="L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1"/>
      <c r="I99" s="11" t="str">
        <f aca="false">IF(F99="","",F99*H99)</f>
        <v/>
      </c>
      <c r="J99" s="10"/>
      <c r="K99" s="10"/>
      <c r="L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1"/>
      <c r="I100" s="11" t="str">
        <f aca="false">IF(F100="","",F100*H100)</f>
        <v/>
      </c>
      <c r="J100" s="10"/>
      <c r="K100" s="10"/>
      <c r="L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1"/>
      <c r="I101" s="11" t="str">
        <f aca="false">IF(F101="","",F101*H101)</f>
        <v/>
      </c>
      <c r="J101" s="10"/>
      <c r="K101" s="10"/>
      <c r="L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1"/>
      <c r="I102" s="11" t="str">
        <f aca="false">IF(F102="","",F102*H102)</f>
        <v/>
      </c>
      <c r="J102" s="10"/>
      <c r="K102" s="10"/>
      <c r="L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1"/>
      <c r="I103" s="11" t="str">
        <f aca="false">IF(F103="","",F103*H103)</f>
        <v/>
      </c>
      <c r="J103" s="10"/>
      <c r="K103" s="10"/>
      <c r="L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1"/>
      <c r="I104" s="11" t="str">
        <f aca="false">IF(F104="","",F104*H104)</f>
        <v/>
      </c>
      <c r="J104" s="10"/>
      <c r="K104" s="10"/>
      <c r="L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1"/>
      <c r="I105" s="11" t="str">
        <f aca="false">IF(F105="","",F105*H105)</f>
        <v/>
      </c>
      <c r="J105" s="10"/>
      <c r="K105" s="10"/>
      <c r="L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1"/>
      <c r="I106" s="11" t="str">
        <f aca="false">IF(F106="","",F106*H106)</f>
        <v/>
      </c>
      <c r="J106" s="10"/>
      <c r="K106" s="10"/>
      <c r="L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1"/>
      <c r="I107" s="11" t="str">
        <f aca="false">IF(F107="","",F107*H107)</f>
        <v/>
      </c>
      <c r="J107" s="10"/>
      <c r="K107" s="10"/>
      <c r="L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1"/>
      <c r="I108" s="11" t="str">
        <f aca="false">IF(F108="","",F108*H108)</f>
        <v/>
      </c>
      <c r="J108" s="10"/>
      <c r="K108" s="10"/>
      <c r="L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1"/>
      <c r="I109" s="11" t="str">
        <f aca="false">IF(F109="","",F109*H109)</f>
        <v/>
      </c>
      <c r="J109" s="10"/>
      <c r="K109" s="10"/>
      <c r="L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1"/>
      <c r="I110" s="11" t="str">
        <f aca="false">IF(F110="","",F110*H110)</f>
        <v/>
      </c>
      <c r="J110" s="10"/>
      <c r="K110" s="10"/>
      <c r="L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1"/>
      <c r="I111" s="11" t="str">
        <f aca="false">IF(F111="","",F111*H111)</f>
        <v/>
      </c>
      <c r="J111" s="10"/>
      <c r="K111" s="10"/>
      <c r="L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1"/>
      <c r="I112" s="11" t="str">
        <f aca="false">IF(F112="","",F112*H112)</f>
        <v/>
      </c>
      <c r="J112" s="10"/>
      <c r="K112" s="10"/>
      <c r="L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1"/>
      <c r="I113" s="11" t="str">
        <f aca="false">IF(F113="","",F113*H113)</f>
        <v/>
      </c>
      <c r="J113" s="10"/>
      <c r="K113" s="10"/>
      <c r="L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1"/>
      <c r="I114" s="11" t="str">
        <f aca="false">IF(F114="","",F114*H114)</f>
        <v/>
      </c>
      <c r="J114" s="10"/>
      <c r="K114" s="10"/>
      <c r="L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1"/>
      <c r="I115" s="11" t="str">
        <f aca="false">IF(F115="","",F115*H115)</f>
        <v/>
      </c>
      <c r="J115" s="10"/>
      <c r="K115" s="10"/>
      <c r="L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1"/>
      <c r="I116" s="11" t="str">
        <f aca="false">IF(F116="","",F116*H116)</f>
        <v/>
      </c>
      <c r="J116" s="10"/>
      <c r="K116" s="10"/>
      <c r="L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1"/>
      <c r="I117" s="11" t="str">
        <f aca="false">IF(F117="","",F117*H117)</f>
        <v/>
      </c>
      <c r="J117" s="10"/>
      <c r="K117" s="10"/>
      <c r="L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1"/>
      <c r="I118" s="11" t="str">
        <f aca="false">IF(F118="","",F118*H118)</f>
        <v/>
      </c>
      <c r="J118" s="10"/>
      <c r="K118" s="10"/>
      <c r="L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1"/>
      <c r="I119" s="11" t="str">
        <f aca="false">IF(F119="","",F119*H119)</f>
        <v/>
      </c>
      <c r="J119" s="10"/>
      <c r="K119" s="10"/>
      <c r="L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1"/>
      <c r="I120" s="11" t="str">
        <f aca="false">IF(F120="","",F120*H120)</f>
        <v/>
      </c>
      <c r="J120" s="10"/>
      <c r="K120" s="10"/>
      <c r="L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1"/>
      <c r="I121" s="11" t="str">
        <f aca="false">IF(F121="","",F121*H121)</f>
        <v/>
      </c>
      <c r="J121" s="10"/>
      <c r="K121" s="10"/>
      <c r="L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1"/>
      <c r="I122" s="11" t="str">
        <f aca="false">IF(F122="","",F122*H122)</f>
        <v/>
      </c>
      <c r="J122" s="10"/>
      <c r="K122" s="10"/>
      <c r="L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1"/>
      <c r="I123" s="11" t="str">
        <f aca="false">IF(F123="","",F123*H123)</f>
        <v/>
      </c>
      <c r="J123" s="10"/>
      <c r="K123" s="10"/>
      <c r="L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1"/>
      <c r="I124" s="11" t="str">
        <f aca="false">IF(F124="","",F124*H124)</f>
        <v/>
      </c>
      <c r="J124" s="10"/>
      <c r="K124" s="10"/>
      <c r="L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1"/>
      <c r="I125" s="11" t="str">
        <f aca="false">IF(F125="","",F125*H125)</f>
        <v/>
      </c>
      <c r="J125" s="10"/>
      <c r="K125" s="10"/>
      <c r="L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1"/>
      <c r="I126" s="11" t="str">
        <f aca="false">IF(F126="","",F126*H126)</f>
        <v/>
      </c>
      <c r="J126" s="10"/>
      <c r="K126" s="10"/>
      <c r="L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1"/>
      <c r="I127" s="11" t="str">
        <f aca="false">IF(F127="","",F127*H127)</f>
        <v/>
      </c>
      <c r="J127" s="10"/>
      <c r="K127" s="10"/>
      <c r="L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1"/>
      <c r="I128" s="11" t="str">
        <f aca="false">IF(F128="","",F128*H128)</f>
        <v/>
      </c>
      <c r="J128" s="10"/>
      <c r="K128" s="10"/>
      <c r="L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1"/>
      <c r="I129" s="11" t="str">
        <f aca="false">IF(F129="","",F129*H129)</f>
        <v/>
      </c>
      <c r="J129" s="10"/>
      <c r="K129" s="10"/>
      <c r="L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1"/>
      <c r="I130" s="11" t="str">
        <f aca="false">IF(F130="","",F130*H130)</f>
        <v/>
      </c>
      <c r="J130" s="10"/>
      <c r="K130" s="10"/>
      <c r="L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1"/>
      <c r="I131" s="11" t="str">
        <f aca="false">IF(F131="","",F131*H131)</f>
        <v/>
      </c>
      <c r="J131" s="10"/>
      <c r="K131" s="10"/>
      <c r="L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1"/>
      <c r="I132" s="11" t="str">
        <f aca="false">IF(F132="","",F132*H132)</f>
        <v/>
      </c>
      <c r="J132" s="10"/>
      <c r="K132" s="10"/>
      <c r="L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1"/>
      <c r="I133" s="11" t="str">
        <f aca="false">IF(F133="","",F133*H133)</f>
        <v/>
      </c>
      <c r="J133" s="10"/>
      <c r="K133" s="10"/>
      <c r="L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1"/>
      <c r="I134" s="11" t="str">
        <f aca="false">IF(F134="","",F134*H134)</f>
        <v/>
      </c>
      <c r="J134" s="10"/>
      <c r="K134" s="10"/>
      <c r="L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1"/>
      <c r="I135" s="11" t="str">
        <f aca="false">IF(F135="","",F135*H135)</f>
        <v/>
      </c>
      <c r="J135" s="10"/>
      <c r="K135" s="10"/>
      <c r="L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1"/>
      <c r="I136" s="11" t="str">
        <f aca="false">IF(F136="","",F136*H136)</f>
        <v/>
      </c>
      <c r="J136" s="10"/>
      <c r="K136" s="10"/>
      <c r="L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1"/>
      <c r="I137" s="11" t="str">
        <f aca="false">IF(F137="","",F137*H137)</f>
        <v/>
      </c>
      <c r="J137" s="10"/>
      <c r="K137" s="10"/>
      <c r="L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1"/>
      <c r="I138" s="11" t="str">
        <f aca="false">IF(F138="","",F138*H138)</f>
        <v/>
      </c>
      <c r="J138" s="10"/>
      <c r="K138" s="10"/>
      <c r="L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1"/>
      <c r="I139" s="11" t="str">
        <f aca="false">IF(F139="","",F139*H139)</f>
        <v/>
      </c>
      <c r="J139" s="10"/>
      <c r="K139" s="10"/>
      <c r="L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1"/>
      <c r="I140" s="11" t="str">
        <f aca="false">IF(F140="","",F140*H140)</f>
        <v/>
      </c>
      <c r="J140" s="10"/>
      <c r="K140" s="10"/>
      <c r="L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1"/>
      <c r="I141" s="11" t="str">
        <f aca="false">IF(F141="","",F141*H141)</f>
        <v/>
      </c>
      <c r="J141" s="10"/>
      <c r="K141" s="10"/>
      <c r="L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1"/>
      <c r="I142" s="11" t="str">
        <f aca="false">IF(F142="","",F142*H142)</f>
        <v/>
      </c>
      <c r="J142" s="10"/>
      <c r="K142" s="10"/>
      <c r="L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1"/>
      <c r="I143" s="11" t="str">
        <f aca="false">IF(F143="","",F143*H143)</f>
        <v/>
      </c>
      <c r="J143" s="10"/>
      <c r="K143" s="10"/>
      <c r="L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1"/>
      <c r="I144" s="11" t="str">
        <f aca="false">IF(F144="","",F144*H144)</f>
        <v/>
      </c>
      <c r="J144" s="10"/>
      <c r="K144" s="10"/>
      <c r="L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1"/>
      <c r="I145" s="11" t="str">
        <f aca="false">IF(F145="","",F145*H145)</f>
        <v/>
      </c>
      <c r="J145" s="10"/>
      <c r="K145" s="10"/>
      <c r="L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1"/>
      <c r="I146" s="11" t="str">
        <f aca="false">IF(F146="","",F146*H146)</f>
        <v/>
      </c>
      <c r="J146" s="10"/>
      <c r="K146" s="10"/>
      <c r="L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1"/>
      <c r="I147" s="11" t="str">
        <f aca="false">IF(F147="","",F147*H147)</f>
        <v/>
      </c>
      <c r="J147" s="10"/>
      <c r="K147" s="10"/>
      <c r="L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1"/>
      <c r="I148" s="11" t="str">
        <f aca="false">IF(F148="","",F148*H148)</f>
        <v/>
      </c>
      <c r="J148" s="10"/>
      <c r="K148" s="10"/>
      <c r="L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1"/>
      <c r="I149" s="11" t="str">
        <f aca="false">IF(F149="","",F149*H149)</f>
        <v/>
      </c>
      <c r="J149" s="10"/>
      <c r="K149" s="10"/>
      <c r="L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1"/>
      <c r="I150" s="11" t="str">
        <f aca="false">IF(F150="","",F150*H150)</f>
        <v/>
      </c>
      <c r="J150" s="10"/>
      <c r="K150" s="10"/>
      <c r="L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1"/>
      <c r="I151" s="11" t="str">
        <f aca="false">IF(F151="","",F151*H151)</f>
        <v/>
      </c>
      <c r="J151" s="10"/>
      <c r="K151" s="10"/>
      <c r="L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1"/>
      <c r="I152" s="11" t="str">
        <f aca="false">IF(F152="","",F152*H152)</f>
        <v/>
      </c>
      <c r="J152" s="10"/>
      <c r="K152" s="10"/>
      <c r="L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1"/>
      <c r="I153" s="11" t="str">
        <f aca="false">IF(F153="","",F153*H153)</f>
        <v/>
      </c>
      <c r="J153" s="10"/>
      <c r="K153" s="10"/>
      <c r="L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1"/>
      <c r="I154" s="11" t="str">
        <f aca="false">IF(F154="","",F154*H154)</f>
        <v/>
      </c>
      <c r="J154" s="10"/>
      <c r="K154" s="10"/>
      <c r="L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1"/>
      <c r="I155" s="11" t="str">
        <f aca="false">IF(F155="","",F155*H155)</f>
        <v/>
      </c>
      <c r="J155" s="10"/>
      <c r="K155" s="10"/>
      <c r="L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1"/>
      <c r="I156" s="11" t="str">
        <f aca="false">IF(F156="","",F156*H156)</f>
        <v/>
      </c>
      <c r="J156" s="10"/>
      <c r="K156" s="10"/>
      <c r="L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1"/>
      <c r="I157" s="11" t="str">
        <f aca="false">IF(F157="","",F157*H157)</f>
        <v/>
      </c>
      <c r="J157" s="10"/>
      <c r="K157" s="10"/>
      <c r="L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1"/>
      <c r="I158" s="11" t="str">
        <f aca="false">IF(F158="","",F158*H158)</f>
        <v/>
      </c>
      <c r="J158" s="10"/>
      <c r="K158" s="10"/>
      <c r="L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1"/>
      <c r="I159" s="11" t="str">
        <f aca="false">IF(F159="","",F159*H159)</f>
        <v/>
      </c>
      <c r="J159" s="10"/>
      <c r="K159" s="10"/>
      <c r="L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1"/>
      <c r="I160" s="11" t="str">
        <f aca="false">IF(F160="","",F160*H160)</f>
        <v/>
      </c>
      <c r="J160" s="10"/>
      <c r="K160" s="10"/>
      <c r="L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1"/>
      <c r="I161" s="11" t="str">
        <f aca="false">IF(F161="","",F161*H161)</f>
        <v/>
      </c>
      <c r="J161" s="10"/>
      <c r="K161" s="10"/>
      <c r="L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1"/>
      <c r="I162" s="11" t="str">
        <f aca="false">IF(F162="","",F162*H162)</f>
        <v/>
      </c>
      <c r="J162" s="10"/>
      <c r="K162" s="10"/>
      <c r="L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1"/>
      <c r="I163" s="11" t="str">
        <f aca="false">IF(F163="","",F163*H163)</f>
        <v/>
      </c>
      <c r="J163" s="10"/>
      <c r="K163" s="10"/>
      <c r="L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1"/>
      <c r="I164" s="11" t="str">
        <f aca="false">IF(F164="","",F164*H164)</f>
        <v/>
      </c>
      <c r="J164" s="10"/>
      <c r="K164" s="10"/>
      <c r="L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1"/>
      <c r="I165" s="11" t="str">
        <f aca="false">IF(F165="","",F165*H165)</f>
        <v/>
      </c>
      <c r="J165" s="10"/>
      <c r="K165" s="10"/>
      <c r="L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1"/>
      <c r="I166" s="11" t="str">
        <f aca="false">IF(F166="","",F166*H166)</f>
        <v/>
      </c>
      <c r="J166" s="10"/>
      <c r="K166" s="10"/>
      <c r="L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1"/>
      <c r="I167" s="11" t="str">
        <f aca="false">IF(F167="","",F167*H167)</f>
        <v/>
      </c>
      <c r="J167" s="10"/>
      <c r="K167" s="10"/>
      <c r="L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1"/>
      <c r="I168" s="11" t="str">
        <f aca="false">IF(F168="","",F168*H168)</f>
        <v/>
      </c>
      <c r="J168" s="10"/>
      <c r="K168" s="10"/>
      <c r="L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1"/>
      <c r="I169" s="11" t="str">
        <f aca="false">IF(F169="","",F169*H169)</f>
        <v/>
      </c>
      <c r="J169" s="10"/>
      <c r="K169" s="10"/>
      <c r="L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1"/>
      <c r="I170" s="11" t="str">
        <f aca="false">IF(F170="","",F170*H170)</f>
        <v/>
      </c>
      <c r="J170" s="10"/>
      <c r="K170" s="10"/>
      <c r="L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1"/>
      <c r="I171" s="11" t="str">
        <f aca="false">IF(F171="","",F171*H171)</f>
        <v/>
      </c>
      <c r="J171" s="10"/>
      <c r="K171" s="10"/>
      <c r="L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1"/>
      <c r="I172" s="11" t="str">
        <f aca="false">IF(F172="","",F172*H172)</f>
        <v/>
      </c>
      <c r="J172" s="10"/>
      <c r="K172" s="10"/>
      <c r="L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1"/>
      <c r="I173" s="11" t="str">
        <f aca="false">IF(F173="","",F173*H173)</f>
        <v/>
      </c>
      <c r="J173" s="10"/>
      <c r="K173" s="10"/>
      <c r="L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1"/>
      <c r="I174" s="11" t="str">
        <f aca="false">IF(F174="","",F174*H174)</f>
        <v/>
      </c>
      <c r="J174" s="10"/>
      <c r="K174" s="10"/>
      <c r="L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1"/>
      <c r="I175" s="11" t="str">
        <f aca="false">IF(F175="","",F175*H175)</f>
        <v/>
      </c>
      <c r="J175" s="10"/>
      <c r="K175" s="10"/>
      <c r="L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1"/>
      <c r="I176" s="11" t="str">
        <f aca="false">IF(F176="","",F176*H176)</f>
        <v/>
      </c>
      <c r="J176" s="10"/>
      <c r="K176" s="10"/>
      <c r="L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1"/>
      <c r="I177" s="11" t="str">
        <f aca="false">IF(F177="","",F177*H177)</f>
        <v/>
      </c>
      <c r="J177" s="10"/>
      <c r="K177" s="10"/>
      <c r="L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1"/>
      <c r="I178" s="11" t="str">
        <f aca="false">IF(F178="","",F178*H178)</f>
        <v/>
      </c>
      <c r="J178" s="10"/>
      <c r="K178" s="10"/>
      <c r="L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1"/>
      <c r="I179" s="11" t="str">
        <f aca="false">IF(F179="","",F179*H179)</f>
        <v/>
      </c>
      <c r="J179" s="10"/>
      <c r="K179" s="10"/>
      <c r="L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1"/>
      <c r="I180" s="11" t="str">
        <f aca="false">IF(F180="","",F180*H180)</f>
        <v/>
      </c>
      <c r="J180" s="10"/>
      <c r="K180" s="10"/>
      <c r="L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1"/>
      <c r="I181" s="11" t="str">
        <f aca="false">IF(F181="","",F181*H181)</f>
        <v/>
      </c>
      <c r="J181" s="10"/>
      <c r="K181" s="10"/>
      <c r="L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1"/>
      <c r="I182" s="11" t="str">
        <f aca="false">IF(F182="","",F182*H182)</f>
        <v/>
      </c>
      <c r="J182" s="10"/>
      <c r="K182" s="10"/>
      <c r="L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1"/>
      <c r="I183" s="11" t="str">
        <f aca="false">IF(F183="","",F183*H183)</f>
        <v/>
      </c>
      <c r="J183" s="10"/>
      <c r="K183" s="10"/>
      <c r="L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1"/>
      <c r="I184" s="11" t="str">
        <f aca="false">IF(F184="","",F184*H184)</f>
        <v/>
      </c>
      <c r="J184" s="10"/>
      <c r="K184" s="10"/>
      <c r="L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1"/>
      <c r="I185" s="11" t="str">
        <f aca="false">IF(F185="","",F185*H185)</f>
        <v/>
      </c>
      <c r="J185" s="10"/>
      <c r="K185" s="10"/>
      <c r="L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1"/>
      <c r="I186" s="11" t="str">
        <f aca="false">IF(F186="","",F186*H186)</f>
        <v/>
      </c>
      <c r="J186" s="10"/>
      <c r="K186" s="10"/>
      <c r="L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1"/>
      <c r="I187" s="11" t="str">
        <f aca="false">IF(F187="","",F187*H187)</f>
        <v/>
      </c>
      <c r="J187" s="10"/>
      <c r="K187" s="10"/>
      <c r="L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1"/>
      <c r="I188" s="11" t="str">
        <f aca="false">IF(F188="","",F188*H188)</f>
        <v/>
      </c>
      <c r="J188" s="10"/>
      <c r="K188" s="10"/>
      <c r="L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1"/>
      <c r="I189" s="11" t="str">
        <f aca="false">IF(F189="","",F189*H189)</f>
        <v/>
      </c>
      <c r="J189" s="10"/>
      <c r="K189" s="10"/>
      <c r="L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1"/>
      <c r="I190" s="11" t="str">
        <f aca="false">IF(F190="","",F190*H190)</f>
        <v/>
      </c>
      <c r="J190" s="10"/>
      <c r="K190" s="10"/>
      <c r="L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1"/>
      <c r="I191" s="11" t="str">
        <f aca="false">IF(F191="","",F191*H191)</f>
        <v/>
      </c>
      <c r="J191" s="10"/>
      <c r="K191" s="10"/>
      <c r="L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1"/>
      <c r="I192" s="11" t="str">
        <f aca="false">IF(F192="","",F192*H192)</f>
        <v/>
      </c>
      <c r="J192" s="10"/>
      <c r="K192" s="10"/>
      <c r="L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1"/>
      <c r="I193" s="11" t="str">
        <f aca="false">IF(F193="","",F193*H193)</f>
        <v/>
      </c>
      <c r="J193" s="10"/>
      <c r="K193" s="10"/>
      <c r="L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1"/>
      <c r="I194" s="11" t="str">
        <f aca="false">IF(F194="","",F194*H194)</f>
        <v/>
      </c>
      <c r="J194" s="10"/>
      <c r="K194" s="10"/>
      <c r="L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1"/>
      <c r="I195" s="11" t="str">
        <f aca="false">IF(F195="","",F195*H195)</f>
        <v/>
      </c>
      <c r="J195" s="10"/>
      <c r="K195" s="10"/>
      <c r="L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1"/>
      <c r="I196" s="11" t="str">
        <f aca="false">IF(F196="","",F196*H196)</f>
        <v/>
      </c>
      <c r="J196" s="10"/>
      <c r="K196" s="10"/>
      <c r="L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1"/>
      <c r="I197" s="11" t="str">
        <f aca="false">IF(F197="","",F197*H197)</f>
        <v/>
      </c>
      <c r="J197" s="10"/>
      <c r="K197" s="10"/>
      <c r="L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1"/>
      <c r="I198" s="11" t="str">
        <f aca="false">IF(F198="","",F198*H198)</f>
        <v/>
      </c>
      <c r="J198" s="10"/>
      <c r="K198" s="10"/>
      <c r="L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1"/>
      <c r="I199" s="11" t="str">
        <f aca="false">IF(F199="","",F199*H199)</f>
        <v/>
      </c>
      <c r="J199" s="10"/>
      <c r="K199" s="10"/>
      <c r="L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1"/>
      <c r="I200" s="11" t="str">
        <f aca="false">IF(F200="","",F200*H200)</f>
        <v/>
      </c>
      <c r="J200" s="10"/>
      <c r="K200" s="10"/>
      <c r="L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1"/>
      <c r="I201" s="11" t="str">
        <f aca="false">IF(F201="","",F201*H201)</f>
        <v/>
      </c>
      <c r="J201" s="10"/>
      <c r="K201" s="10"/>
      <c r="L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1"/>
      <c r="I202" s="11" t="str">
        <f aca="false">IF(F202="","",F202*H202)</f>
        <v/>
      </c>
      <c r="J202" s="10"/>
      <c r="K202" s="10"/>
      <c r="L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1"/>
      <c r="I203" s="11" t="str">
        <f aca="false">IF(F203="","",F203*H203)</f>
        <v/>
      </c>
      <c r="J203" s="10"/>
      <c r="K203" s="10"/>
      <c r="L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1"/>
      <c r="I204" s="11" t="str">
        <f aca="false">IF(F204="","",F204*H204)</f>
        <v/>
      </c>
      <c r="J204" s="10"/>
      <c r="K204" s="10"/>
      <c r="L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1"/>
      <c r="I205" s="11" t="str">
        <f aca="false">IF(F205="","",F205*H205)</f>
        <v/>
      </c>
      <c r="J205" s="10"/>
      <c r="K205" s="10"/>
      <c r="L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1"/>
      <c r="I206" s="11" t="str">
        <f aca="false">IF(F206="","",F206*H206)</f>
        <v/>
      </c>
      <c r="J206" s="10"/>
      <c r="K206" s="10"/>
      <c r="L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1"/>
      <c r="I207" s="11" t="str">
        <f aca="false">IF(F207="","",F207*H207)</f>
        <v/>
      </c>
      <c r="J207" s="10"/>
      <c r="K207" s="10"/>
      <c r="L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1"/>
      <c r="I208" s="11" t="str">
        <f aca="false">IF(F208="","",F208*H208)</f>
        <v/>
      </c>
      <c r="J208" s="10"/>
      <c r="K208" s="10"/>
      <c r="L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1"/>
      <c r="I209" s="11" t="str">
        <f aca="false">IF(F209="","",F209*H209)</f>
        <v/>
      </c>
      <c r="J209" s="10"/>
      <c r="K209" s="10"/>
      <c r="L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1"/>
      <c r="I210" s="11" t="str">
        <f aca="false">IF(F210="","",F210*H210)</f>
        <v/>
      </c>
      <c r="J210" s="10"/>
      <c r="K210" s="10"/>
      <c r="L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1"/>
      <c r="I211" s="11" t="str">
        <f aca="false">IF(F211="","",F211*H211)</f>
        <v/>
      </c>
      <c r="J211" s="10"/>
      <c r="K211" s="10"/>
      <c r="L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1"/>
      <c r="I212" s="11" t="str">
        <f aca="false">IF(F212="","",F212*H212)</f>
        <v/>
      </c>
      <c r="J212" s="10"/>
      <c r="K212" s="10"/>
      <c r="L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1"/>
      <c r="I213" s="11" t="str">
        <f aca="false">IF(F213="","",F213*H213)</f>
        <v/>
      </c>
      <c r="J213" s="10"/>
      <c r="K213" s="10"/>
      <c r="L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1"/>
      <c r="I214" s="11" t="str">
        <f aca="false">IF(F214="","",F214*H214)</f>
        <v/>
      </c>
      <c r="J214" s="10"/>
      <c r="K214" s="10"/>
      <c r="L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1"/>
      <c r="I215" s="11" t="str">
        <f aca="false">IF(F215="","",F215*H215)</f>
        <v/>
      </c>
      <c r="J215" s="10"/>
      <c r="K215" s="10"/>
      <c r="L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1"/>
      <c r="I216" s="11" t="str">
        <f aca="false">IF(F216="","",F216*H216)</f>
        <v/>
      </c>
      <c r="J216" s="10"/>
      <c r="K216" s="10"/>
      <c r="L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1"/>
      <c r="I217" s="11" t="str">
        <f aca="false">IF(F217="","",F217*H217)</f>
        <v/>
      </c>
      <c r="J217" s="10"/>
      <c r="K217" s="10"/>
      <c r="L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1"/>
      <c r="I218" s="11" t="str">
        <f aca="false">IF(F218="","",F218*H218)</f>
        <v/>
      </c>
      <c r="J218" s="10"/>
      <c r="K218" s="10"/>
      <c r="L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1"/>
      <c r="I219" s="11" t="str">
        <f aca="false">IF(F219="","",F219*H219)</f>
        <v/>
      </c>
      <c r="J219" s="10"/>
      <c r="K219" s="10"/>
      <c r="L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1"/>
      <c r="I220" s="11" t="str">
        <f aca="false">IF(F220="","",F220*H220)</f>
        <v/>
      </c>
      <c r="J220" s="10"/>
      <c r="K220" s="10"/>
      <c r="L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1"/>
      <c r="I221" s="11" t="str">
        <f aca="false">IF(F221="","",F221*H221)</f>
        <v/>
      </c>
      <c r="J221" s="10"/>
      <c r="K221" s="10"/>
      <c r="L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1"/>
      <c r="I222" s="11" t="str">
        <f aca="false">IF(F222="","",F222*H222)</f>
        <v/>
      </c>
      <c r="J222" s="10"/>
      <c r="K222" s="10"/>
      <c r="L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1"/>
      <c r="I223" s="11" t="str">
        <f aca="false">IF(F223="","",F223*H223)</f>
        <v/>
      </c>
      <c r="J223" s="10"/>
      <c r="K223" s="10"/>
      <c r="L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1"/>
      <c r="I224" s="11" t="str">
        <f aca="false">IF(F224="","",F224*H224)</f>
        <v/>
      </c>
      <c r="J224" s="10"/>
      <c r="K224" s="10"/>
      <c r="L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1"/>
      <c r="I225" s="11" t="str">
        <f aca="false">IF(F225="","",F225*H225)</f>
        <v/>
      </c>
      <c r="J225" s="10"/>
      <c r="K225" s="10"/>
      <c r="L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1"/>
      <c r="I226" s="11" t="str">
        <f aca="false">IF(F226="","",F226*H226)</f>
        <v/>
      </c>
      <c r="J226" s="10"/>
      <c r="K226" s="10"/>
      <c r="L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1"/>
      <c r="I227" s="11" t="str">
        <f aca="false">IF(F227="","",F227*H227)</f>
        <v/>
      </c>
      <c r="J227" s="10"/>
      <c r="K227" s="10"/>
      <c r="L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1"/>
      <c r="I228" s="11" t="str">
        <f aca="false">IF(F228="","",F228*H228)</f>
        <v/>
      </c>
      <c r="J228" s="10"/>
      <c r="K228" s="10"/>
      <c r="L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1"/>
      <c r="I229" s="11" t="str">
        <f aca="false">IF(F229="","",F229*H229)</f>
        <v/>
      </c>
      <c r="J229" s="10"/>
      <c r="K229" s="10"/>
      <c r="L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1"/>
      <c r="I230" s="11" t="str">
        <f aca="false">IF(F230="","",F230*H230)</f>
        <v/>
      </c>
      <c r="J230" s="10"/>
      <c r="K230" s="10"/>
      <c r="L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1"/>
      <c r="I231" s="11" t="str">
        <f aca="false">IF(F231="","",F231*H231)</f>
        <v/>
      </c>
      <c r="J231" s="10"/>
      <c r="K231" s="10"/>
      <c r="L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1"/>
      <c r="I232" s="11" t="str">
        <f aca="false">IF(F232="","",F232*H232)</f>
        <v/>
      </c>
      <c r="J232" s="10"/>
      <c r="K232" s="10"/>
      <c r="L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1"/>
      <c r="I233" s="11" t="str">
        <f aca="false">IF(F233="","",F233*H233)</f>
        <v/>
      </c>
      <c r="J233" s="10"/>
      <c r="K233" s="10"/>
      <c r="L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1"/>
      <c r="I234" s="11" t="str">
        <f aca="false">IF(F234="","",F234*H234)</f>
        <v/>
      </c>
      <c r="J234" s="10"/>
      <c r="K234" s="10"/>
      <c r="L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1"/>
      <c r="I235" s="11" t="str">
        <f aca="false">IF(F235="","",F235*H235)</f>
        <v/>
      </c>
      <c r="J235" s="10"/>
      <c r="K235" s="10"/>
      <c r="L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1"/>
      <c r="I236" s="11" t="str">
        <f aca="false">IF(F236="","",F236*H236)</f>
        <v/>
      </c>
      <c r="J236" s="10"/>
      <c r="K236" s="10"/>
      <c r="L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1"/>
      <c r="I237" s="11" t="str">
        <f aca="false">IF(F237="","",F237*H237)</f>
        <v/>
      </c>
      <c r="J237" s="10"/>
      <c r="K237" s="10"/>
      <c r="L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1"/>
      <c r="I238" s="11" t="str">
        <f aca="false">IF(F238="","",F238*H238)</f>
        <v/>
      </c>
      <c r="J238" s="10"/>
      <c r="K238" s="10"/>
      <c r="L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1"/>
      <c r="I239" s="11" t="str">
        <f aca="false">IF(F239="","",F239*H239)</f>
        <v/>
      </c>
      <c r="J239" s="10"/>
      <c r="K239" s="10"/>
      <c r="L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1"/>
      <c r="I240" s="11" t="str">
        <f aca="false">IF(F240="","",F240*H240)</f>
        <v/>
      </c>
      <c r="J240" s="10"/>
      <c r="K240" s="10"/>
      <c r="L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1"/>
      <c r="I241" s="11" t="str">
        <f aca="false">IF(F241="","",F241*H241)</f>
        <v/>
      </c>
      <c r="J241" s="10"/>
      <c r="K241" s="10"/>
      <c r="L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1"/>
      <c r="I242" s="11" t="str">
        <f aca="false">IF(F242="","",F242*H242)</f>
        <v/>
      </c>
      <c r="J242" s="10"/>
      <c r="K242" s="10"/>
      <c r="L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1"/>
      <c r="I243" s="11" t="str">
        <f aca="false">IF(F243="","",F243*H243)</f>
        <v/>
      </c>
      <c r="J243" s="10"/>
      <c r="K243" s="10"/>
      <c r="L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1"/>
      <c r="I244" s="11" t="str">
        <f aca="false">IF(F244="","",F244*H244)</f>
        <v/>
      </c>
      <c r="J244" s="10"/>
      <c r="K244" s="10"/>
      <c r="L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1"/>
      <c r="I245" s="11" t="str">
        <f aca="false">IF(F245="","",F245*H245)</f>
        <v/>
      </c>
      <c r="J245" s="10"/>
      <c r="K245" s="10"/>
      <c r="L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1"/>
      <c r="I246" s="11" t="str">
        <f aca="false">IF(F246="","",F246*H246)</f>
        <v/>
      </c>
      <c r="J246" s="10"/>
      <c r="K246" s="10"/>
      <c r="L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1"/>
      <c r="I247" s="11" t="str">
        <f aca="false">IF(F247="","",F247*H247)</f>
        <v/>
      </c>
      <c r="J247" s="10"/>
      <c r="K247" s="10"/>
      <c r="L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1"/>
      <c r="I248" s="11" t="str">
        <f aca="false">IF(F248="","",F248*H248)</f>
        <v/>
      </c>
      <c r="J248" s="10"/>
      <c r="K248" s="10"/>
      <c r="L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1"/>
      <c r="I249" s="11" t="str">
        <f aca="false">IF(F249="","",F249*H249)</f>
        <v/>
      </c>
      <c r="J249" s="10"/>
      <c r="K249" s="10"/>
      <c r="L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1"/>
      <c r="I250" s="11" t="str">
        <f aca="false">IF(F250="","",F250*H250)</f>
        <v/>
      </c>
      <c r="J250" s="10"/>
      <c r="K250" s="10"/>
      <c r="L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1"/>
      <c r="I251" s="11" t="str">
        <f aca="false">IF(F251="","",F251*H251)</f>
        <v/>
      </c>
      <c r="J251" s="10"/>
      <c r="K251" s="10"/>
      <c r="L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1"/>
      <c r="I252" s="11" t="str">
        <f aca="false">IF(F252="","",F252*H252)</f>
        <v/>
      </c>
      <c r="J252" s="10"/>
      <c r="K252" s="10"/>
      <c r="L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1"/>
      <c r="I253" s="11" t="str">
        <f aca="false">IF(F253="","",F253*H253)</f>
        <v/>
      </c>
      <c r="J253" s="10"/>
      <c r="K253" s="10"/>
      <c r="L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1"/>
      <c r="I254" s="11" t="str">
        <f aca="false">IF(F254="","",F254*H254)</f>
        <v/>
      </c>
      <c r="J254" s="10"/>
      <c r="K254" s="10"/>
      <c r="L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1"/>
      <c r="I255" s="11" t="str">
        <f aca="false">IF(F255="","",F255*H255)</f>
        <v/>
      </c>
      <c r="J255" s="10"/>
      <c r="K255" s="10"/>
      <c r="L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1"/>
      <c r="I256" s="11" t="str">
        <f aca="false">IF(F256="","",F256*H256)</f>
        <v/>
      </c>
      <c r="J256" s="10"/>
      <c r="K256" s="10"/>
      <c r="L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1"/>
      <c r="I257" s="11" t="str">
        <f aca="false">IF(F257="","",F257*H257)</f>
        <v/>
      </c>
      <c r="J257" s="10"/>
      <c r="K257" s="10"/>
      <c r="L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1"/>
      <c r="I258" s="11" t="str">
        <f aca="false">IF(F258="","",F258*H258)</f>
        <v/>
      </c>
      <c r="J258" s="10"/>
      <c r="K258" s="10"/>
      <c r="L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1"/>
      <c r="I259" s="11" t="str">
        <f aca="false">IF(F259="","",F259*H259)</f>
        <v/>
      </c>
      <c r="J259" s="10"/>
      <c r="K259" s="10"/>
      <c r="L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1"/>
      <c r="I260" s="11" t="str">
        <f aca="false">IF(F260="","",F260*H260)</f>
        <v/>
      </c>
      <c r="J260" s="10"/>
      <c r="K260" s="10"/>
      <c r="L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1"/>
      <c r="I261" s="11" t="str">
        <f aca="false">IF(F261="","",F261*H261)</f>
        <v/>
      </c>
      <c r="J261" s="10"/>
      <c r="K261" s="10"/>
      <c r="L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1"/>
      <c r="I262" s="11" t="str">
        <f aca="false">IF(F262="","",F262*H262)</f>
        <v/>
      </c>
      <c r="J262" s="10"/>
      <c r="K262" s="10"/>
      <c r="L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1"/>
      <c r="I263" s="11" t="str">
        <f aca="false">IF(F263="","",F263*H263)</f>
        <v/>
      </c>
      <c r="J263" s="10"/>
      <c r="K263" s="10"/>
      <c r="L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1"/>
      <c r="I264" s="11" t="str">
        <f aca="false">IF(F264="","",F264*H264)</f>
        <v/>
      </c>
      <c r="J264" s="10"/>
      <c r="K264" s="10"/>
      <c r="L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1"/>
      <c r="I265" s="11" t="str">
        <f aca="false">IF(F265="","",F265*H265)</f>
        <v/>
      </c>
      <c r="J265" s="10"/>
      <c r="K265" s="10"/>
      <c r="L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1"/>
      <c r="I266" s="11" t="str">
        <f aca="false">IF(F266="","",F266*H266)</f>
        <v/>
      </c>
      <c r="J266" s="10"/>
      <c r="K266" s="10"/>
      <c r="L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1"/>
      <c r="I267" s="11" t="str">
        <f aca="false">IF(F267="","",F267*H267)</f>
        <v/>
      </c>
      <c r="J267" s="10"/>
      <c r="K267" s="10"/>
      <c r="L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1"/>
      <c r="I268" s="11" t="str">
        <f aca="false">IF(F268="","",F268*H268)</f>
        <v/>
      </c>
      <c r="J268" s="10"/>
      <c r="K268" s="10"/>
      <c r="L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1"/>
      <c r="I269" s="11" t="str">
        <f aca="false">IF(F269="","",F269*H269)</f>
        <v/>
      </c>
      <c r="J269" s="10"/>
      <c r="K269" s="10"/>
      <c r="L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1"/>
      <c r="I270" s="11" t="str">
        <f aca="false">IF(F270="","",F270*H270)</f>
        <v/>
      </c>
      <c r="J270" s="10"/>
      <c r="K270" s="10"/>
      <c r="L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1"/>
      <c r="I271" s="11" t="str">
        <f aca="false">IF(F271="","",F271*H271)</f>
        <v/>
      </c>
      <c r="J271" s="10"/>
      <c r="K271" s="10"/>
      <c r="L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1"/>
      <c r="I272" s="11" t="str">
        <f aca="false">IF(F272="","",F272*H272)</f>
        <v/>
      </c>
      <c r="J272" s="10"/>
      <c r="K272" s="10"/>
      <c r="L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1"/>
      <c r="I273" s="11" t="str">
        <f aca="false">IF(F273="","",F273*H273)</f>
        <v/>
      </c>
      <c r="J273" s="10"/>
      <c r="K273" s="10"/>
      <c r="L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1"/>
      <c r="I274" s="11" t="str">
        <f aca="false">IF(F274="","",F274*H274)</f>
        <v/>
      </c>
      <c r="J274" s="10"/>
      <c r="K274" s="10"/>
      <c r="L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1"/>
      <c r="I275" s="11" t="str">
        <f aca="false">IF(F275="","",F275*H275)</f>
        <v/>
      </c>
      <c r="J275" s="10"/>
      <c r="K275" s="10"/>
      <c r="L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1"/>
      <c r="I276" s="11" t="str">
        <f aca="false">IF(F276="","",F276*H276)</f>
        <v/>
      </c>
      <c r="J276" s="10"/>
      <c r="K276" s="10"/>
      <c r="L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1"/>
      <c r="I277" s="11" t="str">
        <f aca="false">IF(F277="","",F277*H277)</f>
        <v/>
      </c>
      <c r="J277" s="10"/>
      <c r="K277" s="10"/>
      <c r="L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1"/>
      <c r="I278" s="11" t="str">
        <f aca="false">IF(F278="","",F278*H278)</f>
        <v/>
      </c>
      <c r="J278" s="10"/>
      <c r="K278" s="10"/>
      <c r="L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1"/>
      <c r="I279" s="11" t="str">
        <f aca="false">IF(F279="","",F279*H279)</f>
        <v/>
      </c>
      <c r="J279" s="10"/>
      <c r="K279" s="10"/>
      <c r="L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1"/>
      <c r="I280" s="11" t="str">
        <f aca="false">IF(F280="","",F280*H280)</f>
        <v/>
      </c>
      <c r="J280" s="10"/>
      <c r="K280" s="10"/>
      <c r="L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1"/>
      <c r="I281" s="11" t="str">
        <f aca="false">IF(F281="","",F281*H281)</f>
        <v/>
      </c>
      <c r="J281" s="10"/>
      <c r="K281" s="10"/>
      <c r="L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1"/>
      <c r="I282" s="11" t="str">
        <f aca="false">IF(F282="","",F282*H282)</f>
        <v/>
      </c>
      <c r="J282" s="10"/>
      <c r="K282" s="10"/>
      <c r="L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1"/>
      <c r="I283" s="11" t="str">
        <f aca="false">IF(F283="","",F283*H283)</f>
        <v/>
      </c>
      <c r="J283" s="10"/>
      <c r="K283" s="10"/>
      <c r="L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1"/>
      <c r="I284" s="11" t="str">
        <f aca="false">IF(F284="","",F284*H284)</f>
        <v/>
      </c>
      <c r="J284" s="10"/>
      <c r="K284" s="10"/>
      <c r="L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1"/>
      <c r="I285" s="11" t="str">
        <f aca="false">IF(F285="","",F285*H285)</f>
        <v/>
      </c>
      <c r="J285" s="10"/>
      <c r="K285" s="10"/>
      <c r="L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1"/>
      <c r="I286" s="11" t="str">
        <f aca="false">IF(F286="","",F286*H286)</f>
        <v/>
      </c>
      <c r="J286" s="10"/>
      <c r="K286" s="10"/>
      <c r="L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1"/>
      <c r="I287" s="11" t="str">
        <f aca="false">IF(F287="","",F287*H287)</f>
        <v/>
      </c>
      <c r="J287" s="10"/>
      <c r="K287" s="10"/>
      <c r="L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1"/>
      <c r="I288" s="11" t="str">
        <f aca="false">IF(F288="","",F288*H288)</f>
        <v/>
      </c>
      <c r="J288" s="10"/>
      <c r="K288" s="10"/>
      <c r="L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1"/>
      <c r="I289" s="11" t="str">
        <f aca="false">IF(F289="","",F289*H289)</f>
        <v/>
      </c>
      <c r="J289" s="10"/>
      <c r="K289" s="10"/>
      <c r="L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1"/>
      <c r="I290" s="11" t="str">
        <f aca="false">IF(F290="","",F290*H290)</f>
        <v/>
      </c>
      <c r="J290" s="10"/>
      <c r="K290" s="10"/>
      <c r="L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1"/>
      <c r="I291" s="11" t="str">
        <f aca="false">IF(F291="","",F291*H291)</f>
        <v/>
      </c>
      <c r="J291" s="10"/>
      <c r="K291" s="10"/>
      <c r="L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1"/>
      <c r="I292" s="11" t="str">
        <f aca="false">IF(F292="","",F292*H292)</f>
        <v/>
      </c>
      <c r="J292" s="10"/>
      <c r="K292" s="10"/>
      <c r="L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1"/>
      <c r="I293" s="11" t="str">
        <f aca="false">IF(F293="","",F293*H293)</f>
        <v/>
      </c>
      <c r="J293" s="10"/>
      <c r="K293" s="10"/>
      <c r="L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1"/>
      <c r="I294" s="11" t="str">
        <f aca="false">IF(F294="","",F294*H294)</f>
        <v/>
      </c>
      <c r="J294" s="10"/>
      <c r="K294" s="10"/>
      <c r="L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1"/>
      <c r="I295" s="11" t="str">
        <f aca="false">IF(F295="","",F295*H295)</f>
        <v/>
      </c>
      <c r="J295" s="10"/>
      <c r="K295" s="10"/>
      <c r="L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1"/>
      <c r="I296" s="11" t="str">
        <f aca="false">IF(F296="","",F296*H296)</f>
        <v/>
      </c>
      <c r="J296" s="10"/>
      <c r="K296" s="10"/>
      <c r="L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1"/>
      <c r="I297" s="11" t="str">
        <f aca="false">IF(F297="","",F297*H297)</f>
        <v/>
      </c>
      <c r="J297" s="10"/>
      <c r="K297" s="10"/>
      <c r="L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1"/>
      <c r="I298" s="11" t="str">
        <f aca="false">IF(F298="","",F298*H298)</f>
        <v/>
      </c>
      <c r="J298" s="10"/>
      <c r="K298" s="10"/>
      <c r="L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1"/>
      <c r="I299" s="11" t="str">
        <f aca="false">IF(F299="","",F299*H299)</f>
        <v/>
      </c>
      <c r="J299" s="10"/>
      <c r="K299" s="10"/>
      <c r="L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1"/>
      <c r="I300" s="11" t="str">
        <f aca="false">IF(F300="","",F300*H300)</f>
        <v/>
      </c>
      <c r="J300" s="10"/>
      <c r="K300" s="10"/>
      <c r="L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1"/>
      <c r="I301" s="11" t="str">
        <f aca="false">IF(F301="","",F301*H301)</f>
        <v/>
      </c>
      <c r="J301" s="10"/>
      <c r="K301" s="10"/>
      <c r="L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1"/>
      <c r="I302" s="11" t="str">
        <f aca="false">IF(F302="","",F302*H302)</f>
        <v/>
      </c>
      <c r="J302" s="10"/>
      <c r="K302" s="10"/>
      <c r="L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1"/>
      <c r="I303" s="11" t="str">
        <f aca="false">IF(F303="","",F303*H303)</f>
        <v/>
      </c>
      <c r="J303" s="10"/>
      <c r="K303" s="10"/>
      <c r="L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1"/>
      <c r="I304" s="11" t="str">
        <f aca="false">IF(F304="","",F304*H304)</f>
        <v/>
      </c>
      <c r="J304" s="10"/>
      <c r="K304" s="10"/>
      <c r="L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1"/>
      <c r="I305" s="11" t="str">
        <f aca="false">IF(F305="","",F305*H305)</f>
        <v/>
      </c>
      <c r="J305" s="10"/>
      <c r="K305" s="10"/>
      <c r="L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1"/>
      <c r="I306" s="11" t="str">
        <f aca="false">IF(F306="","",F306*H306)</f>
        <v/>
      </c>
      <c r="J306" s="10"/>
      <c r="K306" s="10"/>
      <c r="L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1"/>
      <c r="I307" s="11" t="str">
        <f aca="false">IF(F307="","",F307*H307)</f>
        <v/>
      </c>
      <c r="J307" s="10"/>
      <c r="K307" s="10"/>
      <c r="L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1"/>
      <c r="I308" s="11" t="str">
        <f aca="false">IF(F308="","",F308*H308)</f>
        <v/>
      </c>
      <c r="J308" s="10"/>
      <c r="K308" s="10"/>
      <c r="L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1"/>
      <c r="I309" s="11" t="str">
        <f aca="false">IF(F309="","",F309*H309)</f>
        <v/>
      </c>
      <c r="J309" s="10"/>
      <c r="K309" s="10"/>
      <c r="L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1"/>
      <c r="I310" s="11" t="str">
        <f aca="false">IF(F310="","",F310*H310)</f>
        <v/>
      </c>
      <c r="J310" s="10"/>
      <c r="K310" s="10"/>
      <c r="L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1"/>
      <c r="I311" s="11" t="str">
        <f aca="false">IF(F311="","",F311*H311)</f>
        <v/>
      </c>
      <c r="J311" s="10"/>
      <c r="K311" s="10"/>
      <c r="L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1"/>
      <c r="I312" s="11" t="str">
        <f aca="false">IF(F312="","",F312*H312)</f>
        <v/>
      </c>
      <c r="J312" s="10"/>
      <c r="K312" s="10"/>
      <c r="L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1"/>
      <c r="I313" s="11" t="str">
        <f aca="false">IF(F313="","",F313*H313)</f>
        <v/>
      </c>
      <c r="J313" s="10"/>
      <c r="K313" s="10"/>
      <c r="L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1"/>
      <c r="I314" s="11" t="str">
        <f aca="false">IF(F314="","",F314*H314)</f>
        <v/>
      </c>
      <c r="J314" s="10"/>
      <c r="K314" s="10"/>
      <c r="L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1"/>
      <c r="I315" s="11" t="str">
        <f aca="false">IF(F315="","",F315*H315)</f>
        <v/>
      </c>
      <c r="J315" s="10"/>
      <c r="K315" s="10"/>
      <c r="L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1"/>
      <c r="I316" s="11" t="str">
        <f aca="false">IF(F316="","",F316*H316)</f>
        <v/>
      </c>
      <c r="J316" s="10"/>
      <c r="K316" s="10"/>
      <c r="L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1"/>
      <c r="I317" s="11" t="str">
        <f aca="false">IF(F317="","",F317*H317)</f>
        <v/>
      </c>
      <c r="J317" s="10"/>
      <c r="K317" s="10"/>
      <c r="L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1"/>
      <c r="I318" s="11" t="str">
        <f aca="false">IF(F318="","",F318*H318)</f>
        <v/>
      </c>
      <c r="J318" s="10"/>
      <c r="K318" s="10"/>
      <c r="L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1"/>
      <c r="I319" s="11" t="str">
        <f aca="false">IF(F319="","",F319*H319)</f>
        <v/>
      </c>
      <c r="J319" s="10"/>
      <c r="K319" s="10"/>
      <c r="L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1"/>
      <c r="I320" s="11" t="str">
        <f aca="false">IF(F320="","",F320*H320)</f>
        <v/>
      </c>
      <c r="J320" s="10"/>
      <c r="K320" s="10"/>
      <c r="L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1"/>
      <c r="I321" s="11" t="str">
        <f aca="false">IF(F321="","",F321*H321)</f>
        <v/>
      </c>
      <c r="J321" s="10"/>
      <c r="K321" s="10"/>
      <c r="L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1"/>
      <c r="I322" s="11" t="str">
        <f aca="false">IF(F322="","",F322*H322)</f>
        <v/>
      </c>
      <c r="J322" s="10"/>
      <c r="K322" s="10"/>
      <c r="L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1"/>
      <c r="I323" s="11" t="str">
        <f aca="false">IF(F323="","",F323*H323)</f>
        <v/>
      </c>
      <c r="J323" s="10"/>
      <c r="K323" s="10"/>
      <c r="L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1"/>
      <c r="I324" s="11" t="str">
        <f aca="false">IF(F324="","",F324*H324)</f>
        <v/>
      </c>
      <c r="J324" s="10"/>
      <c r="K324" s="10"/>
      <c r="L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1"/>
      <c r="I325" s="11" t="str">
        <f aca="false">IF(F325="","",F325*H325)</f>
        <v/>
      </c>
      <c r="J325" s="10"/>
      <c r="K325" s="10"/>
      <c r="L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1"/>
      <c r="I326" s="11" t="str">
        <f aca="false">IF(F326="","",F326*H326)</f>
        <v/>
      </c>
      <c r="J326" s="10"/>
      <c r="K326" s="10"/>
      <c r="L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1"/>
      <c r="I327" s="11" t="str">
        <f aca="false">IF(F327="","",F327*H327)</f>
        <v/>
      </c>
      <c r="J327" s="10"/>
      <c r="K327" s="10"/>
      <c r="L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1"/>
      <c r="I328" s="11" t="str">
        <f aca="false">IF(F328="","",F328*H328)</f>
        <v/>
      </c>
      <c r="J328" s="10"/>
      <c r="K328" s="10"/>
      <c r="L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1"/>
      <c r="I329" s="11" t="str">
        <f aca="false">IF(F329="","",F329*H329)</f>
        <v/>
      </c>
      <c r="J329" s="10"/>
      <c r="K329" s="10"/>
      <c r="L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1"/>
      <c r="I330" s="11" t="str">
        <f aca="false">IF(F330="","",F330*H330)</f>
        <v/>
      </c>
      <c r="J330" s="10"/>
      <c r="K330" s="10"/>
      <c r="L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1"/>
      <c r="I331" s="11" t="str">
        <f aca="false">IF(F331="","",F331*H331)</f>
        <v/>
      </c>
      <c r="J331" s="10"/>
      <c r="K331" s="10"/>
      <c r="L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1"/>
      <c r="I332" s="11" t="str">
        <f aca="false">IF(F332="","",F332*H332)</f>
        <v/>
      </c>
      <c r="J332" s="10"/>
      <c r="K332" s="10"/>
      <c r="L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1"/>
      <c r="I333" s="11" t="str">
        <f aca="false">IF(F333="","",F333*H333)</f>
        <v/>
      </c>
      <c r="J333" s="10"/>
      <c r="K333" s="10"/>
      <c r="L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1"/>
      <c r="I334" s="11" t="str">
        <f aca="false">IF(F334="","",F334*H334)</f>
        <v/>
      </c>
      <c r="J334" s="10"/>
      <c r="K334" s="10"/>
      <c r="L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1"/>
      <c r="I335" s="11" t="str">
        <f aca="false">IF(F335="","",F335*H335)</f>
        <v/>
      </c>
      <c r="J335" s="10"/>
      <c r="K335" s="10"/>
      <c r="L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1"/>
      <c r="I336" s="11" t="str">
        <f aca="false">IF(F336="","",F336*H336)</f>
        <v/>
      </c>
      <c r="J336" s="10"/>
      <c r="K336" s="10"/>
      <c r="L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1"/>
      <c r="I337" s="11" t="str">
        <f aca="false">IF(F337="","",F337*H337)</f>
        <v/>
      </c>
      <c r="J337" s="10"/>
      <c r="K337" s="10"/>
      <c r="L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1"/>
      <c r="I338" s="11" t="str">
        <f aca="false">IF(F338="","",F338*H338)</f>
        <v/>
      </c>
      <c r="J338" s="10"/>
      <c r="K338" s="10"/>
      <c r="L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1"/>
      <c r="I339" s="11" t="str">
        <f aca="false">IF(F339="","",F339*H339)</f>
        <v/>
      </c>
      <c r="J339" s="10"/>
      <c r="K339" s="10"/>
      <c r="L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1"/>
      <c r="I340" s="11" t="str">
        <f aca="false">IF(F340="","",F340*H340)</f>
        <v/>
      </c>
      <c r="J340" s="10"/>
      <c r="K340" s="10"/>
      <c r="L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1"/>
      <c r="I341" s="11" t="str">
        <f aca="false">IF(F341="","",F341*H341)</f>
        <v/>
      </c>
      <c r="J341" s="10"/>
      <c r="K341" s="10"/>
      <c r="L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1"/>
      <c r="I342" s="11" t="str">
        <f aca="false">IF(F342="","",F342*H342)</f>
        <v/>
      </c>
      <c r="J342" s="10"/>
      <c r="K342" s="10"/>
      <c r="L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1"/>
      <c r="I343" s="11" t="str">
        <f aca="false">IF(F343="","",F343*H343)</f>
        <v/>
      </c>
      <c r="J343" s="10"/>
      <c r="K343" s="10"/>
      <c r="L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1"/>
      <c r="I344" s="11" t="str">
        <f aca="false">IF(F344="","",F344*H344)</f>
        <v/>
      </c>
      <c r="J344" s="10"/>
      <c r="K344" s="10"/>
      <c r="L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1"/>
      <c r="I345" s="11" t="str">
        <f aca="false">IF(F345="","",F345*H345)</f>
        <v/>
      </c>
      <c r="J345" s="10"/>
      <c r="K345" s="10"/>
      <c r="L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1"/>
      <c r="I346" s="11" t="str">
        <f aca="false">IF(F346="","",F346*H346)</f>
        <v/>
      </c>
      <c r="J346" s="10"/>
      <c r="K346" s="10"/>
      <c r="L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1"/>
      <c r="I347" s="11" t="str">
        <f aca="false">IF(F347="","",F347*H347)</f>
        <v/>
      </c>
      <c r="J347" s="10"/>
      <c r="K347" s="10"/>
      <c r="L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1"/>
      <c r="I348" s="11" t="str">
        <f aca="false">IF(F348="","",F348*H348)</f>
        <v/>
      </c>
      <c r="J348" s="10"/>
      <c r="K348" s="10"/>
      <c r="L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1"/>
      <c r="I349" s="11" t="str">
        <f aca="false">IF(F349="","",F349*H349)</f>
        <v/>
      </c>
      <c r="J349" s="10"/>
      <c r="K349" s="10"/>
      <c r="L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1"/>
      <c r="I350" s="11" t="str">
        <f aca="false">IF(F350="","",F350*H350)</f>
        <v/>
      </c>
      <c r="J350" s="10"/>
      <c r="K350" s="10"/>
      <c r="L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1"/>
      <c r="I351" s="11" t="str">
        <f aca="false">IF(F351="","",F351*H351)</f>
        <v/>
      </c>
      <c r="J351" s="10"/>
      <c r="K351" s="10"/>
      <c r="L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1"/>
      <c r="I352" s="11" t="str">
        <f aca="false">IF(F352="","",F352*H352)</f>
        <v/>
      </c>
      <c r="J352" s="10"/>
      <c r="K352" s="10"/>
      <c r="L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1"/>
      <c r="I353" s="11" t="str">
        <f aca="false">IF(F353="","",F353*H353)</f>
        <v/>
      </c>
      <c r="J353" s="10"/>
      <c r="K353" s="10"/>
      <c r="L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1"/>
      <c r="I354" s="11" t="str">
        <f aca="false">IF(F354="","",F354*H354)</f>
        <v/>
      </c>
      <c r="J354" s="10"/>
      <c r="K354" s="10"/>
      <c r="L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1"/>
      <c r="I355" s="11" t="str">
        <f aca="false">IF(F355="","",F355*H355)</f>
        <v/>
      </c>
      <c r="J355" s="10"/>
      <c r="K355" s="10"/>
      <c r="L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1"/>
      <c r="I356" s="11" t="str">
        <f aca="false">IF(F356="","",F356*H356)</f>
        <v/>
      </c>
      <c r="J356" s="10"/>
      <c r="K356" s="10"/>
      <c r="L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1"/>
      <c r="I357" s="11" t="str">
        <f aca="false">IF(F357="","",F357*H357)</f>
        <v/>
      </c>
      <c r="J357" s="10"/>
      <c r="K357" s="10"/>
      <c r="L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1"/>
      <c r="I358" s="11" t="str">
        <f aca="false">IF(F358="","",F358*H358)</f>
        <v/>
      </c>
      <c r="J358" s="10"/>
      <c r="K358" s="10"/>
      <c r="L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1"/>
      <c r="I359" s="11" t="str">
        <f aca="false">IF(F359="","",F359*H359)</f>
        <v/>
      </c>
      <c r="J359" s="10"/>
      <c r="K359" s="10"/>
      <c r="L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1"/>
      <c r="I360" s="11" t="str">
        <f aca="false">IF(F360="","",F360*H360)</f>
        <v/>
      </c>
      <c r="J360" s="10"/>
      <c r="K360" s="10"/>
      <c r="L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1"/>
      <c r="I361" s="11" t="str">
        <f aca="false">IF(F361="","",F361*H361)</f>
        <v/>
      </c>
      <c r="J361" s="10"/>
      <c r="K361" s="10"/>
      <c r="L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1"/>
      <c r="I362" s="11" t="str">
        <f aca="false">IF(F362="","",F362*H362)</f>
        <v/>
      </c>
      <c r="J362" s="10"/>
      <c r="K362" s="10"/>
      <c r="L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1"/>
      <c r="I363" s="11" t="str">
        <f aca="false">IF(F363="","",F363*H363)</f>
        <v/>
      </c>
      <c r="J363" s="10"/>
      <c r="K363" s="10"/>
      <c r="L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1"/>
      <c r="I364" s="11" t="str">
        <f aca="false">IF(F364="","",F364*H364)</f>
        <v/>
      </c>
      <c r="J364" s="10"/>
      <c r="K364" s="10"/>
      <c r="L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1"/>
      <c r="I365" s="11" t="str">
        <f aca="false">IF(F365="","",F365*H365)</f>
        <v/>
      </c>
      <c r="J365" s="10"/>
      <c r="K365" s="10"/>
      <c r="L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1"/>
      <c r="I366" s="11" t="str">
        <f aca="false">IF(F366="","",F366*H366)</f>
        <v/>
      </c>
      <c r="J366" s="10"/>
      <c r="K366" s="10"/>
      <c r="L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1"/>
      <c r="I367" s="11" t="str">
        <f aca="false">IF(F367="","",F367*H367)</f>
        <v/>
      </c>
      <c r="J367" s="10"/>
      <c r="K367" s="10"/>
      <c r="L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1"/>
      <c r="I368" s="11" t="str">
        <f aca="false">IF(F368="","",F368*H368)</f>
        <v/>
      </c>
      <c r="J368" s="10"/>
      <c r="K368" s="10"/>
      <c r="L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1"/>
      <c r="I369" s="11" t="str">
        <f aca="false">IF(F369="","",F369*H369)</f>
        <v/>
      </c>
      <c r="J369" s="10"/>
      <c r="K369" s="10"/>
      <c r="L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1"/>
      <c r="I370" s="11" t="str">
        <f aca="false">IF(F370="","",F370*H370)</f>
        <v/>
      </c>
      <c r="J370" s="10"/>
      <c r="K370" s="10"/>
      <c r="L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1"/>
      <c r="I371" s="11" t="str">
        <f aca="false">IF(F371="","",F371*H371)</f>
        <v/>
      </c>
      <c r="J371" s="10"/>
      <c r="K371" s="10"/>
      <c r="L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1"/>
      <c r="I372" s="11" t="str">
        <f aca="false">IF(F372="","",F372*H372)</f>
        <v/>
      </c>
      <c r="J372" s="10"/>
      <c r="K372" s="10"/>
      <c r="L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1"/>
      <c r="I373" s="11" t="str">
        <f aca="false">IF(F373="","",F373*H373)</f>
        <v/>
      </c>
      <c r="J373" s="10"/>
      <c r="K373" s="10"/>
      <c r="L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1"/>
      <c r="I374" s="11" t="str">
        <f aca="false">IF(F374="","",F374*H374)</f>
        <v/>
      </c>
      <c r="J374" s="10"/>
      <c r="K374" s="10"/>
      <c r="L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1"/>
      <c r="I375" s="11" t="str">
        <f aca="false">IF(F375="","",F375*H375)</f>
        <v/>
      </c>
      <c r="J375" s="10"/>
      <c r="K375" s="10"/>
      <c r="L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1"/>
      <c r="I376" s="11" t="str">
        <f aca="false">IF(F376="","",F376*H376)</f>
        <v/>
      </c>
      <c r="J376" s="10"/>
      <c r="K376" s="10"/>
      <c r="L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1"/>
      <c r="I377" s="11" t="str">
        <f aca="false">IF(F377="","",F377*H377)</f>
        <v/>
      </c>
      <c r="J377" s="10"/>
      <c r="K377" s="10"/>
      <c r="L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1"/>
      <c r="I378" s="11" t="str">
        <f aca="false">IF(F378="","",F378*H378)</f>
        <v/>
      </c>
      <c r="J378" s="10"/>
      <c r="K378" s="10"/>
      <c r="L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1"/>
      <c r="I379" s="11" t="str">
        <f aca="false">IF(F379="","",F379*H379)</f>
        <v/>
      </c>
      <c r="J379" s="10"/>
      <c r="K379" s="10"/>
      <c r="L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1"/>
      <c r="I380" s="11" t="str">
        <f aca="false">IF(F380="","",F380*H380)</f>
        <v/>
      </c>
      <c r="J380" s="10"/>
      <c r="K380" s="10"/>
      <c r="L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1"/>
      <c r="I381" s="11" t="str">
        <f aca="false">IF(F381="","",F381*H381)</f>
        <v/>
      </c>
      <c r="J381" s="10"/>
      <c r="K381" s="10"/>
      <c r="L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1"/>
      <c r="I382" s="11" t="str">
        <f aca="false">IF(F382="","",F382*H382)</f>
        <v/>
      </c>
      <c r="J382" s="10"/>
      <c r="K382" s="10"/>
      <c r="L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1"/>
      <c r="I383" s="11" t="str">
        <f aca="false">IF(F383="","",F383*H383)</f>
        <v/>
      </c>
      <c r="J383" s="10"/>
      <c r="K383" s="10"/>
      <c r="L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1"/>
      <c r="I384" s="11" t="str">
        <f aca="false">IF(F384="","",F384*H384)</f>
        <v/>
      </c>
      <c r="J384" s="10"/>
      <c r="K384" s="10"/>
      <c r="L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1"/>
      <c r="I385" s="11" t="str">
        <f aca="false">IF(F385="","",F385*H385)</f>
        <v/>
      </c>
      <c r="J385" s="10"/>
      <c r="K385" s="10"/>
      <c r="L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1"/>
      <c r="I386" s="11" t="str">
        <f aca="false">IF(F386="","",F386*H386)</f>
        <v/>
      </c>
      <c r="J386" s="10"/>
      <c r="K386" s="10"/>
      <c r="L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1"/>
      <c r="I387" s="11" t="str">
        <f aca="false">IF(F387="","",F387*H387)</f>
        <v/>
      </c>
      <c r="J387" s="10"/>
      <c r="K387" s="10"/>
      <c r="L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1"/>
      <c r="I388" s="11" t="str">
        <f aca="false">IF(F388="","",F388*H388)</f>
        <v/>
      </c>
      <c r="J388" s="10"/>
      <c r="K388" s="10"/>
      <c r="L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1"/>
      <c r="I389" s="11" t="str">
        <f aca="false">IF(F389="","",F389*H389)</f>
        <v/>
      </c>
      <c r="J389" s="10"/>
      <c r="K389" s="10"/>
      <c r="L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1"/>
      <c r="I390" s="11" t="str">
        <f aca="false">IF(F390="","",F390*H390)</f>
        <v/>
      </c>
      <c r="J390" s="10"/>
      <c r="K390" s="10"/>
      <c r="L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1"/>
      <c r="I391" s="11" t="str">
        <f aca="false">IF(F391="","",F391*H391)</f>
        <v/>
      </c>
      <c r="J391" s="10"/>
      <c r="K391" s="10"/>
      <c r="L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1"/>
      <c r="I392" s="11" t="str">
        <f aca="false">IF(F392="","",F392*H392)</f>
        <v/>
      </c>
      <c r="J392" s="10"/>
      <c r="K392" s="10"/>
      <c r="L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1"/>
      <c r="I393" s="11" t="str">
        <f aca="false">IF(F393="","",F393*H393)</f>
        <v/>
      </c>
      <c r="J393" s="10"/>
      <c r="K393" s="10"/>
      <c r="L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1"/>
      <c r="I394" s="11" t="str">
        <f aca="false">IF(F394="","",F394*H394)</f>
        <v/>
      </c>
      <c r="J394" s="10"/>
      <c r="K394" s="10"/>
      <c r="L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1"/>
      <c r="I395" s="11" t="str">
        <f aca="false">IF(F395="","",F395*H395)</f>
        <v/>
      </c>
      <c r="J395" s="10"/>
      <c r="K395" s="10"/>
      <c r="L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1"/>
      <c r="I396" s="11" t="str">
        <f aca="false">IF(F396="","",F396*H396)</f>
        <v/>
      </c>
      <c r="J396" s="10"/>
      <c r="K396" s="10"/>
      <c r="L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1"/>
      <c r="I397" s="11" t="str">
        <f aca="false">IF(F397="","",F397*H397)</f>
        <v/>
      </c>
      <c r="J397" s="10"/>
      <c r="K397" s="10"/>
      <c r="L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1"/>
      <c r="I398" s="11" t="str">
        <f aca="false">IF(F398="","",F398*H398)</f>
        <v/>
      </c>
      <c r="J398" s="10"/>
      <c r="K398" s="10"/>
      <c r="L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1"/>
      <c r="I399" s="11" t="str">
        <f aca="false">IF(F399="","",F399*H399)</f>
        <v/>
      </c>
      <c r="J399" s="10"/>
      <c r="K399" s="10"/>
      <c r="L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1"/>
      <c r="I400" s="11" t="str">
        <f aca="false">IF(F400="","",F400*H400)</f>
        <v/>
      </c>
      <c r="J400" s="10"/>
      <c r="K400" s="10"/>
      <c r="L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1"/>
      <c r="I401" s="11" t="str">
        <f aca="false">IF(F401="","",F401*H401)</f>
        <v/>
      </c>
      <c r="J401" s="10"/>
      <c r="K401" s="10"/>
      <c r="L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1"/>
      <c r="I402" s="11" t="str">
        <f aca="false">IF(F402="","",F402*H402)</f>
        <v/>
      </c>
      <c r="J402" s="10"/>
      <c r="K402" s="10"/>
      <c r="L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1"/>
      <c r="I403" s="11" t="str">
        <f aca="false">IF(F403="","",F403*H403)</f>
        <v/>
      </c>
      <c r="J403" s="10"/>
      <c r="K403" s="10"/>
      <c r="L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1"/>
      <c r="I404" s="11" t="str">
        <f aca="false">IF(F404="","",F404*H404)</f>
        <v/>
      </c>
      <c r="J404" s="10"/>
      <c r="K404" s="10"/>
      <c r="L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1"/>
      <c r="I405" s="11" t="str">
        <f aca="false">IF(F405="","",F405*H405)</f>
        <v/>
      </c>
      <c r="J405" s="10"/>
      <c r="K405" s="10"/>
      <c r="L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1"/>
      <c r="I406" s="11" t="str">
        <f aca="false">IF(F406="","",F406*H406)</f>
        <v/>
      </c>
      <c r="J406" s="10"/>
      <c r="K406" s="10"/>
      <c r="L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1"/>
      <c r="I407" s="11" t="str">
        <f aca="false">IF(F407="","",F407*H407)</f>
        <v/>
      </c>
      <c r="J407" s="10"/>
      <c r="K407" s="10"/>
      <c r="L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1"/>
      <c r="I408" s="11" t="str">
        <f aca="false">IF(F408="","",F408*H408)</f>
        <v/>
      </c>
      <c r="J408" s="10"/>
      <c r="K408" s="10"/>
      <c r="L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1"/>
      <c r="I409" s="11" t="str">
        <f aca="false">IF(F409="","",F409*H409)</f>
        <v/>
      </c>
      <c r="J409" s="10"/>
      <c r="K409" s="10"/>
      <c r="L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1"/>
      <c r="I410" s="11" t="str">
        <f aca="false">IF(F410="","",F410*H410)</f>
        <v/>
      </c>
      <c r="J410" s="10"/>
      <c r="K410" s="10"/>
      <c r="L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1"/>
      <c r="I411" s="11" t="str">
        <f aca="false">IF(F411="","",F411*H411)</f>
        <v/>
      </c>
      <c r="J411" s="10"/>
      <c r="K411" s="10"/>
      <c r="L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1"/>
      <c r="I412" s="11" t="str">
        <f aca="false">IF(F412="","",F412*H412)</f>
        <v/>
      </c>
      <c r="J412" s="10"/>
      <c r="K412" s="10"/>
      <c r="L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1"/>
      <c r="I413" s="11" t="str">
        <f aca="false">IF(F413="","",F413*H413)</f>
        <v/>
      </c>
      <c r="J413" s="10"/>
      <c r="K413" s="10"/>
      <c r="L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1"/>
      <c r="I414" s="11" t="str">
        <f aca="false">IF(F414="","",F414*H414)</f>
        <v/>
      </c>
      <c r="J414" s="10"/>
      <c r="K414" s="10"/>
      <c r="L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1"/>
      <c r="I415" s="11" t="str">
        <f aca="false">IF(F415="","",F415*H415)</f>
        <v/>
      </c>
      <c r="J415" s="10"/>
      <c r="K415" s="10"/>
      <c r="L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1"/>
      <c r="I416" s="11" t="str">
        <f aca="false">IF(F416="","",F416*H416)</f>
        <v/>
      </c>
      <c r="J416" s="10"/>
      <c r="K416" s="10"/>
      <c r="L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1"/>
      <c r="I417" s="11" t="str">
        <f aca="false">IF(F417="","",F417*H417)</f>
        <v/>
      </c>
      <c r="J417" s="10"/>
      <c r="K417" s="10"/>
      <c r="L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1"/>
      <c r="I418" s="11" t="str">
        <f aca="false">IF(F418="","",F418*H418)</f>
        <v/>
      </c>
      <c r="J418" s="10"/>
      <c r="K418" s="10"/>
      <c r="L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1"/>
      <c r="I419" s="11" t="str">
        <f aca="false">IF(F419="","",F419*H419)</f>
        <v/>
      </c>
      <c r="J419" s="10"/>
      <c r="K419" s="10"/>
      <c r="L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1"/>
      <c r="I420" s="11" t="str">
        <f aca="false">IF(F420="","",F420*H420)</f>
        <v/>
      </c>
      <c r="J420" s="10"/>
      <c r="K420" s="10"/>
      <c r="L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1"/>
      <c r="I421" s="11" t="str">
        <f aca="false">IF(F421="","",F421*H421)</f>
        <v/>
      </c>
      <c r="J421" s="10"/>
      <c r="K421" s="10"/>
      <c r="L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1"/>
      <c r="I422" s="11" t="str">
        <f aca="false">IF(F422="","",F422*H422)</f>
        <v/>
      </c>
      <c r="J422" s="10"/>
      <c r="K422" s="10"/>
      <c r="L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1"/>
      <c r="I423" s="11" t="str">
        <f aca="false">IF(F423="","",F423*H423)</f>
        <v/>
      </c>
      <c r="J423" s="10"/>
      <c r="K423" s="10"/>
      <c r="L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1"/>
      <c r="I424" s="11" t="str">
        <f aca="false">IF(F424="","",F424*H424)</f>
        <v/>
      </c>
      <c r="J424" s="10"/>
      <c r="K424" s="10"/>
      <c r="L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1"/>
      <c r="I425" s="11" t="str">
        <f aca="false">IF(F425="","",F425*H425)</f>
        <v/>
      </c>
      <c r="J425" s="10"/>
      <c r="K425" s="10"/>
      <c r="L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1"/>
      <c r="I426" s="11" t="str">
        <f aca="false">IF(F426="","",F426*H426)</f>
        <v/>
      </c>
      <c r="J426" s="10"/>
      <c r="K426" s="10"/>
      <c r="L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1"/>
      <c r="I427" s="11" t="str">
        <f aca="false">IF(F427="","",F427*H427)</f>
        <v/>
      </c>
      <c r="J427" s="10"/>
      <c r="K427" s="10"/>
      <c r="L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1"/>
      <c r="I428" s="11" t="str">
        <f aca="false">IF(F428="","",F428*H428)</f>
        <v/>
      </c>
      <c r="J428" s="10"/>
      <c r="K428" s="10"/>
      <c r="L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1"/>
      <c r="I429" s="11" t="str">
        <f aca="false">IF(F429="","",F429*H429)</f>
        <v/>
      </c>
      <c r="J429" s="10"/>
      <c r="K429" s="10"/>
      <c r="L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1"/>
      <c r="I430" s="11" t="str">
        <f aca="false">IF(F430="","",F430*H430)</f>
        <v/>
      </c>
      <c r="J430" s="10"/>
      <c r="K430" s="10"/>
      <c r="L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1"/>
      <c r="I431" s="11" t="str">
        <f aca="false">IF(F431="","",F431*H431)</f>
        <v/>
      </c>
      <c r="J431" s="10"/>
      <c r="K431" s="10"/>
      <c r="L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1"/>
      <c r="I432" s="11" t="str">
        <f aca="false">IF(F432="","",F432*H432)</f>
        <v/>
      </c>
      <c r="J432" s="10"/>
      <c r="K432" s="10"/>
      <c r="L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1"/>
      <c r="I433" s="11" t="str">
        <f aca="false">IF(F433="","",F433*H433)</f>
        <v/>
      </c>
      <c r="J433" s="10"/>
      <c r="K433" s="10"/>
      <c r="L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1"/>
      <c r="I434" s="11" t="str">
        <f aca="false">IF(F434="","",F434*H434)</f>
        <v/>
      </c>
      <c r="J434" s="10"/>
      <c r="K434" s="10"/>
      <c r="L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1"/>
      <c r="I435" s="11" t="str">
        <f aca="false">IF(F435="","",F435*H435)</f>
        <v/>
      </c>
      <c r="J435" s="10"/>
      <c r="K435" s="10"/>
      <c r="L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1"/>
      <c r="I436" s="11" t="str">
        <f aca="false">IF(F436="","",F436*H436)</f>
        <v/>
      </c>
      <c r="J436" s="10"/>
      <c r="K436" s="10"/>
      <c r="L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1"/>
      <c r="I437" s="11" t="str">
        <f aca="false">IF(F437="","",F437*H437)</f>
        <v/>
      </c>
      <c r="J437" s="10"/>
      <c r="K437" s="10"/>
      <c r="L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1"/>
      <c r="I438" s="11" t="str">
        <f aca="false">IF(F438="","",F438*H438)</f>
        <v/>
      </c>
      <c r="J438" s="10"/>
      <c r="K438" s="10"/>
      <c r="L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1"/>
      <c r="I439" s="11" t="str">
        <f aca="false">IF(F439="","",F439*H439)</f>
        <v/>
      </c>
      <c r="J439" s="10"/>
      <c r="K439" s="10"/>
      <c r="L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1"/>
      <c r="I440" s="11" t="str">
        <f aca="false">IF(F440="","",F440*H440)</f>
        <v/>
      </c>
      <c r="J440" s="10"/>
      <c r="K440" s="10"/>
      <c r="L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1"/>
      <c r="I441" s="11" t="str">
        <f aca="false">IF(F441="","",F441*H441)</f>
        <v/>
      </c>
      <c r="J441" s="10"/>
      <c r="K441" s="10"/>
      <c r="L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1"/>
      <c r="I442" s="11" t="str">
        <f aca="false">IF(F442="","",F442*H442)</f>
        <v/>
      </c>
      <c r="J442" s="10"/>
      <c r="K442" s="10"/>
      <c r="L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1"/>
      <c r="I443" s="11" t="str">
        <f aca="false">IF(F443="","",F443*H443)</f>
        <v/>
      </c>
      <c r="J443" s="10"/>
      <c r="K443" s="10"/>
      <c r="L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1"/>
      <c r="I444" s="11" t="str">
        <f aca="false">IF(F444="","",F444*H444)</f>
        <v/>
      </c>
      <c r="J444" s="10"/>
      <c r="K444" s="10"/>
      <c r="L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1"/>
      <c r="I445" s="11" t="str">
        <f aca="false">IF(F445="","",F445*H445)</f>
        <v/>
      </c>
      <c r="J445" s="10"/>
      <c r="K445" s="10"/>
      <c r="L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1"/>
      <c r="I446" s="11" t="str">
        <f aca="false">IF(F446="","",F446*H446)</f>
        <v/>
      </c>
      <c r="J446" s="10"/>
      <c r="K446" s="10"/>
      <c r="L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1"/>
      <c r="I447" s="11" t="str">
        <f aca="false">IF(F447="","",F447*H447)</f>
        <v/>
      </c>
      <c r="J447" s="10"/>
      <c r="K447" s="10"/>
      <c r="L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1"/>
      <c r="I448" s="11" t="str">
        <f aca="false">IF(F448="","",F448*H448)</f>
        <v/>
      </c>
      <c r="J448" s="10"/>
      <c r="K448" s="10"/>
      <c r="L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1"/>
      <c r="I449" s="11" t="str">
        <f aca="false">IF(F449="","",F449*H449)</f>
        <v/>
      </c>
      <c r="J449" s="10"/>
      <c r="K449" s="10"/>
      <c r="L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1"/>
      <c r="I450" s="11" t="str">
        <f aca="false">IF(F450="","",F450*H450)</f>
        <v/>
      </c>
      <c r="J450" s="10"/>
      <c r="K450" s="10"/>
      <c r="L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1"/>
      <c r="I451" s="11" t="str">
        <f aca="false">IF(F451="","",F451*H451)</f>
        <v/>
      </c>
      <c r="J451" s="10"/>
      <c r="K451" s="10"/>
      <c r="L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1"/>
      <c r="I452" s="11" t="str">
        <f aca="false">IF(F452="","",F452*H452)</f>
        <v/>
      </c>
      <c r="J452" s="10"/>
      <c r="K452" s="10"/>
      <c r="L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1"/>
      <c r="I453" s="11" t="str">
        <f aca="false">IF(F453="","",F453*H453)</f>
        <v/>
      </c>
      <c r="J453" s="10"/>
      <c r="K453" s="10"/>
      <c r="L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1"/>
      <c r="I454" s="11" t="str">
        <f aca="false">IF(F454="","",F454*H454)</f>
        <v/>
      </c>
      <c r="J454" s="10"/>
      <c r="K454" s="10"/>
      <c r="L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1"/>
      <c r="I455" s="11" t="str">
        <f aca="false">IF(F455="","",F455*H455)</f>
        <v/>
      </c>
      <c r="J455" s="10"/>
      <c r="K455" s="10"/>
      <c r="L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1"/>
      <c r="I456" s="11" t="str">
        <f aca="false">IF(F456="","",F456*H456)</f>
        <v/>
      </c>
      <c r="J456" s="10"/>
      <c r="K456" s="10"/>
      <c r="L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1"/>
      <c r="I457" s="11" t="str">
        <f aca="false">IF(F457="","",F457*H457)</f>
        <v/>
      </c>
      <c r="J457" s="10"/>
      <c r="K457" s="10"/>
      <c r="L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1"/>
      <c r="I458" s="11" t="str">
        <f aca="false">IF(F458="","",F458*H458)</f>
        <v/>
      </c>
      <c r="J458" s="10"/>
      <c r="K458" s="10"/>
      <c r="L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1"/>
      <c r="I459" s="11" t="str">
        <f aca="false">IF(F459="","",F459*H459)</f>
        <v/>
      </c>
      <c r="J459" s="10"/>
      <c r="K459" s="10"/>
      <c r="L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1"/>
      <c r="I460" s="11" t="str">
        <f aca="false">IF(F460="","",F460*H460)</f>
        <v/>
      </c>
      <c r="J460" s="10"/>
      <c r="K460" s="10"/>
      <c r="L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1"/>
      <c r="I461" s="11" t="str">
        <f aca="false">IF(F461="","",F461*H461)</f>
        <v/>
      </c>
      <c r="J461" s="10"/>
      <c r="K461" s="10"/>
      <c r="L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1"/>
      <c r="I462" s="11" t="str">
        <f aca="false">IF(F462="","",F462*H462)</f>
        <v/>
      </c>
      <c r="J462" s="10"/>
      <c r="K462" s="10"/>
      <c r="L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1"/>
      <c r="I463" s="11" t="str">
        <f aca="false">IF(F463="","",F463*H463)</f>
        <v/>
      </c>
      <c r="J463" s="10"/>
      <c r="K463" s="10"/>
      <c r="L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1"/>
      <c r="I464" s="11" t="str">
        <f aca="false">IF(F464="","",F464*H464)</f>
        <v/>
      </c>
      <c r="J464" s="10"/>
      <c r="K464" s="10"/>
      <c r="L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1"/>
      <c r="I465" s="11" t="str">
        <f aca="false">IF(F465="","",F465*H465)</f>
        <v/>
      </c>
      <c r="J465" s="10"/>
      <c r="K465" s="10"/>
      <c r="L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1"/>
      <c r="I466" s="11" t="str">
        <f aca="false">IF(F466="","",F466*H466)</f>
        <v/>
      </c>
      <c r="J466" s="10"/>
      <c r="K466" s="10"/>
      <c r="L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1"/>
      <c r="I467" s="11" t="str">
        <f aca="false">IF(F467="","",F467*H467)</f>
        <v/>
      </c>
      <c r="J467" s="10"/>
      <c r="K467" s="10"/>
      <c r="L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1"/>
      <c r="I468" s="11" t="str">
        <f aca="false">IF(F468="","",F468*H468)</f>
        <v/>
      </c>
      <c r="J468" s="10"/>
      <c r="K468" s="10"/>
      <c r="L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1"/>
      <c r="I469" s="11" t="str">
        <f aca="false">IF(F469="","",F469*H469)</f>
        <v/>
      </c>
      <c r="J469" s="10"/>
      <c r="K469" s="10"/>
      <c r="L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1"/>
      <c r="I470" s="11" t="str">
        <f aca="false">IF(F470="","",F470*H470)</f>
        <v/>
      </c>
      <c r="J470" s="10"/>
      <c r="K470" s="10"/>
      <c r="L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1"/>
      <c r="I471" s="11" t="str">
        <f aca="false">IF(F471="","",F471*H471)</f>
        <v/>
      </c>
      <c r="J471" s="10"/>
      <c r="K471" s="10"/>
      <c r="L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1"/>
      <c r="I472" s="11" t="str">
        <f aca="false">IF(F472="","",F472*H472)</f>
        <v/>
      </c>
      <c r="J472" s="10"/>
      <c r="K472" s="10"/>
      <c r="L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1"/>
      <c r="I473" s="11" t="str">
        <f aca="false">IF(F473="","",F473*H473)</f>
        <v/>
      </c>
      <c r="J473" s="10"/>
      <c r="K473" s="10"/>
      <c r="L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1"/>
      <c r="I474" s="11" t="str">
        <f aca="false">IF(F474="","",F474*H474)</f>
        <v/>
      </c>
      <c r="J474" s="10"/>
      <c r="K474" s="10"/>
      <c r="L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1"/>
      <c r="I475" s="11" t="str">
        <f aca="false">IF(F475="","",F475*H475)</f>
        <v/>
      </c>
      <c r="J475" s="10"/>
      <c r="K475" s="10"/>
      <c r="L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1"/>
      <c r="I476" s="11" t="str">
        <f aca="false">IF(F476="","",F476*H476)</f>
        <v/>
      </c>
      <c r="J476" s="10"/>
      <c r="K476" s="10"/>
      <c r="L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1"/>
      <c r="I477" s="11" t="str">
        <f aca="false">IF(F477="","",F477*H477)</f>
        <v/>
      </c>
      <c r="J477" s="10"/>
      <c r="K477" s="10"/>
      <c r="L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1"/>
      <c r="I478" s="11" t="str">
        <f aca="false">IF(F478="","",F478*H478)</f>
        <v/>
      </c>
      <c r="J478" s="10"/>
      <c r="K478" s="10"/>
      <c r="L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1"/>
      <c r="I479" s="11" t="str">
        <f aca="false">IF(F479="","",F479*H479)</f>
        <v/>
      </c>
      <c r="J479" s="10"/>
      <c r="K479" s="10"/>
      <c r="L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1"/>
      <c r="I480" s="11" t="str">
        <f aca="false">IF(F480="","",F480*H480)</f>
        <v/>
      </c>
      <c r="J480" s="10"/>
      <c r="K480" s="10"/>
      <c r="L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1"/>
      <c r="I481" s="11" t="str">
        <f aca="false">IF(F481="","",F481*H481)</f>
        <v/>
      </c>
      <c r="J481" s="10"/>
      <c r="K481" s="10"/>
      <c r="L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1"/>
      <c r="I482" s="11" t="str">
        <f aca="false">IF(F482="","",F482*H482)</f>
        <v/>
      </c>
      <c r="J482" s="10"/>
      <c r="K482" s="10"/>
      <c r="L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1"/>
      <c r="I483" s="11" t="str">
        <f aca="false">IF(F483="","",F483*H483)</f>
        <v/>
      </c>
      <c r="J483" s="10"/>
      <c r="K483" s="10"/>
      <c r="L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1"/>
      <c r="I484" s="11" t="str">
        <f aca="false">IF(F484="","",F484*H484)</f>
        <v/>
      </c>
      <c r="J484" s="10"/>
      <c r="K484" s="10"/>
      <c r="L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1"/>
      <c r="I485" s="11" t="str">
        <f aca="false">IF(F485="","",F485*H485)</f>
        <v/>
      </c>
      <c r="J485" s="10"/>
      <c r="K485" s="10"/>
      <c r="L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1"/>
      <c r="I486" s="11" t="str">
        <f aca="false">IF(F486="","",F486*H486)</f>
        <v/>
      </c>
      <c r="J486" s="10"/>
      <c r="K486" s="10"/>
      <c r="L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1"/>
      <c r="I487" s="11" t="str">
        <f aca="false">IF(F487="","",F487*H487)</f>
        <v/>
      </c>
      <c r="J487" s="10"/>
      <c r="K487" s="10"/>
      <c r="L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1"/>
      <c r="I488" s="11" t="str">
        <f aca="false">IF(F488="","",F488*H488)</f>
        <v/>
      </c>
      <c r="J488" s="10"/>
      <c r="K488" s="10"/>
      <c r="L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1"/>
      <c r="I489" s="11" t="str">
        <f aca="false">IF(F489="","",F489*H489)</f>
        <v/>
      </c>
      <c r="J489" s="10"/>
      <c r="K489" s="10"/>
      <c r="L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1"/>
      <c r="I490" s="11" t="str">
        <f aca="false">IF(F490="","",F490*H490)</f>
        <v/>
      </c>
      <c r="J490" s="10"/>
      <c r="K490" s="10"/>
      <c r="L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1"/>
      <c r="I491" s="11" t="str">
        <f aca="false">IF(F491="","",F491*H491)</f>
        <v/>
      </c>
      <c r="J491" s="10"/>
      <c r="K491" s="10"/>
      <c r="L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1"/>
      <c r="I492" s="11" t="str">
        <f aca="false">IF(F492="","",F492*H492)</f>
        <v/>
      </c>
      <c r="J492" s="10"/>
      <c r="K492" s="10"/>
      <c r="L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1"/>
      <c r="I493" s="11" t="str">
        <f aca="false">IF(F493="","",F493*H493)</f>
        <v/>
      </c>
      <c r="J493" s="10"/>
      <c r="K493" s="10"/>
      <c r="L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1"/>
      <c r="I494" s="11" t="str">
        <f aca="false">IF(F494="","",F494*H494)</f>
        <v/>
      </c>
      <c r="J494" s="10"/>
      <c r="K494" s="10"/>
      <c r="L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1"/>
      <c r="I495" s="11" t="str">
        <f aca="false">IF(F495="","",F495*H495)</f>
        <v/>
      </c>
      <c r="J495" s="10"/>
      <c r="K495" s="10"/>
      <c r="L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1"/>
      <c r="I496" s="11" t="str">
        <f aca="false">IF(F496="","",F496*H496)</f>
        <v/>
      </c>
      <c r="J496" s="10"/>
      <c r="K496" s="10"/>
      <c r="L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1"/>
      <c r="I497" s="11" t="str">
        <f aca="false">IF(F497="","",F497*H497)</f>
        <v/>
      </c>
      <c r="J497" s="10"/>
      <c r="K497" s="10"/>
      <c r="L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1"/>
      <c r="I498" s="11" t="str">
        <f aca="false">IF(F498="","",F498*H498)</f>
        <v/>
      </c>
      <c r="J498" s="10"/>
      <c r="K498" s="10"/>
      <c r="L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1"/>
      <c r="I499" s="11" t="str">
        <f aca="false">IF(F499="","",F499*H499)</f>
        <v/>
      </c>
      <c r="J499" s="10"/>
      <c r="K499" s="10"/>
      <c r="L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1"/>
      <c r="I500" s="11" t="str">
        <f aca="false">IF(F500="","",F500*H500)</f>
        <v/>
      </c>
      <c r="J500" s="10"/>
      <c r="K500" s="10"/>
      <c r="L500" s="10"/>
    </row>
  </sheetData>
  <dataValidations count="1">
    <dataValidation allowBlank="true" errorStyle="stop" operator="between" showDropDown="false" showErrorMessage="false" showInputMessage="false" sqref="L2:L500" type="list">
      <formula1>"已接单,已配货,已送达,已签收,已取消"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6" t="s">
        <v>97</v>
      </c>
      <c r="B1" s="6" t="s">
        <v>23</v>
      </c>
      <c r="C1" s="6" t="s">
        <v>24</v>
      </c>
      <c r="D1" s="6" t="s">
        <v>100</v>
      </c>
      <c r="E1" s="6" t="s">
        <v>25</v>
      </c>
      <c r="F1" s="6" t="s">
        <v>101</v>
      </c>
      <c r="G1" s="6" t="s">
        <v>102</v>
      </c>
      <c r="H1" s="6" t="s">
        <v>109</v>
      </c>
      <c r="I1" s="6" t="s">
        <v>110</v>
      </c>
      <c r="J1" s="6" t="s">
        <v>31</v>
      </c>
    </row>
    <row r="2" customFormat="false" ht="15" hidden="false" customHeight="false" outlineLevel="0" collapsed="false">
      <c r="A2" s="7" t="s">
        <v>105</v>
      </c>
      <c r="B2" s="8" t="s">
        <v>33</v>
      </c>
      <c r="C2" s="7" t="s">
        <v>34</v>
      </c>
      <c r="D2" s="8" t="n">
        <v>4</v>
      </c>
      <c r="E2" s="8" t="s">
        <v>35</v>
      </c>
      <c r="F2" s="9" t="n">
        <v>45</v>
      </c>
      <c r="G2" s="9" t="n">
        <f aca="false">IF(D2="","",D2*F2)</f>
        <v>180</v>
      </c>
      <c r="H2" s="8" t="s">
        <v>36</v>
      </c>
      <c r="I2" s="8" t="s">
        <v>111</v>
      </c>
      <c r="J2" s="8" t="s">
        <v>37</v>
      </c>
    </row>
    <row r="3" customFormat="false" ht="15" hidden="false" customHeight="false" outlineLevel="0" collapsed="false">
      <c r="A3" s="7" t="s">
        <v>105</v>
      </c>
      <c r="B3" s="8" t="s">
        <v>48</v>
      </c>
      <c r="C3" s="7" t="s">
        <v>49</v>
      </c>
      <c r="D3" s="8" t="n">
        <v>3</v>
      </c>
      <c r="E3" s="8" t="s">
        <v>35</v>
      </c>
      <c r="F3" s="9" t="n">
        <v>115</v>
      </c>
      <c r="G3" s="9" t="n">
        <f aca="false">IF(D3="","",D3*F3)</f>
        <v>345</v>
      </c>
      <c r="H3" s="8" t="s">
        <v>50</v>
      </c>
      <c r="I3" s="8" t="s">
        <v>111</v>
      </c>
      <c r="J3" s="8" t="s">
        <v>37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1"/>
      <c r="G4" s="11" t="str">
        <f aca="false">IF(D4="","",D4*F4)</f>
        <v/>
      </c>
      <c r="H4" s="10"/>
      <c r="I4" s="10"/>
      <c r="J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1"/>
      <c r="G5" s="11" t="str">
        <f aca="false">IF(D5="","",D5*F5)</f>
        <v/>
      </c>
      <c r="H5" s="10"/>
      <c r="I5" s="10"/>
      <c r="J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1"/>
      <c r="G6" s="11" t="str">
        <f aca="false">IF(D6="","",D6*F6)</f>
        <v/>
      </c>
      <c r="H6" s="10"/>
      <c r="I6" s="10"/>
      <c r="J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1"/>
      <c r="G7" s="11" t="str">
        <f aca="false">IF(D7="","",D7*F7)</f>
        <v/>
      </c>
      <c r="H7" s="10"/>
      <c r="I7" s="10"/>
      <c r="J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1"/>
      <c r="G8" s="11" t="str">
        <f aca="false">IF(D8="","",D8*F8)</f>
        <v/>
      </c>
      <c r="H8" s="10"/>
      <c r="I8" s="10"/>
      <c r="J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1"/>
      <c r="G9" s="11" t="str">
        <f aca="false">IF(D9="","",D9*F9)</f>
        <v/>
      </c>
      <c r="H9" s="10"/>
      <c r="I9" s="10"/>
      <c r="J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1"/>
      <c r="G10" s="11" t="str">
        <f aca="false">IF(D10="","",D10*F10)</f>
        <v/>
      </c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1"/>
      <c r="G11" s="11" t="str">
        <f aca="false">IF(D11="","",D11*F11)</f>
        <v/>
      </c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1"/>
      <c r="G12" s="11" t="str">
        <f aca="false">IF(D12="","",D12*F12)</f>
        <v/>
      </c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1"/>
      <c r="G13" s="11" t="str">
        <f aca="false">IF(D13="","",D13*F13)</f>
        <v/>
      </c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1"/>
      <c r="G14" s="11" t="str">
        <f aca="false">IF(D14="","",D14*F14)</f>
        <v/>
      </c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1"/>
      <c r="G15" s="11" t="str">
        <f aca="false">IF(D15="","",D15*F15)</f>
        <v/>
      </c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/>
      <c r="G16" s="11" t="str">
        <f aca="false">IF(D16="","",D16*F16)</f>
        <v/>
      </c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1"/>
      <c r="G17" s="11" t="str">
        <f aca="false">IF(D17="","",D17*F17)</f>
        <v/>
      </c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1"/>
      <c r="G18" s="11" t="str">
        <f aca="false">IF(D18="","",D18*F18)</f>
        <v/>
      </c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1"/>
      <c r="G19" s="11" t="str">
        <f aca="false">IF(D19="","",D19*F19)</f>
        <v/>
      </c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/>
      <c r="G20" s="11" t="str">
        <f aca="false">IF(D20="","",D20*F20)</f>
        <v/>
      </c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1"/>
      <c r="G21" s="11" t="str">
        <f aca="false">IF(D21="","",D21*F21)</f>
        <v/>
      </c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/>
      <c r="G22" s="11" t="str">
        <f aca="false">IF(D22="","",D22*F22)</f>
        <v/>
      </c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1"/>
      <c r="G23" s="11" t="str">
        <f aca="false">IF(D23="","",D23*F23)</f>
        <v/>
      </c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1"/>
      <c r="G24" s="11" t="str">
        <f aca="false">IF(D24="","",D24*F24)</f>
        <v/>
      </c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1"/>
      <c r="G25" s="11" t="str">
        <f aca="false">IF(D25="","",D25*F25)</f>
        <v/>
      </c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1"/>
      <c r="G26" s="11" t="str">
        <f aca="false">IF(D26="","",D26*F26)</f>
        <v/>
      </c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1"/>
      <c r="G27" s="11" t="str">
        <f aca="false">IF(D27="","",D27*F27)</f>
        <v/>
      </c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1"/>
      <c r="G28" s="11" t="str">
        <f aca="false">IF(D28="","",D28*F28)</f>
        <v/>
      </c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1"/>
      <c r="G29" s="11" t="str">
        <f aca="false">IF(D29="","",D29*F29)</f>
        <v/>
      </c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1"/>
      <c r="G30" s="11" t="str">
        <f aca="false">IF(D30="","",D30*F30)</f>
        <v/>
      </c>
      <c r="H30" s="10"/>
      <c r="I30" s="10"/>
      <c r="J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1"/>
      <c r="G31" s="11" t="str">
        <f aca="false">IF(D31="","",D31*F31)</f>
        <v/>
      </c>
      <c r="H31" s="10"/>
      <c r="I31" s="10"/>
      <c r="J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1"/>
      <c r="G32" s="11" t="str">
        <f aca="false">IF(D32="","",D32*F32)</f>
        <v/>
      </c>
      <c r="H32" s="10"/>
      <c r="I32" s="10"/>
      <c r="J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1"/>
      <c r="G33" s="11" t="str">
        <f aca="false">IF(D33="","",D33*F33)</f>
        <v/>
      </c>
      <c r="H33" s="10"/>
      <c r="I33" s="10"/>
      <c r="J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1"/>
      <c r="G34" s="11" t="str">
        <f aca="false">IF(D34="","",D34*F34)</f>
        <v/>
      </c>
      <c r="H34" s="10"/>
      <c r="I34" s="10"/>
      <c r="J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1"/>
      <c r="G35" s="11" t="str">
        <f aca="false">IF(D35="","",D35*F35)</f>
        <v/>
      </c>
      <c r="H35" s="10"/>
      <c r="I35" s="10"/>
      <c r="J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1"/>
      <c r="G36" s="11" t="str">
        <f aca="false">IF(D36="","",D36*F36)</f>
        <v/>
      </c>
      <c r="H36" s="10"/>
      <c r="I36" s="10"/>
      <c r="J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1"/>
      <c r="G37" s="11" t="str">
        <f aca="false">IF(D37="","",D37*F37)</f>
        <v/>
      </c>
      <c r="H37" s="10"/>
      <c r="I37" s="10"/>
      <c r="J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1"/>
      <c r="G38" s="11" t="str">
        <f aca="false">IF(D38="","",D38*F38)</f>
        <v/>
      </c>
      <c r="H38" s="10"/>
      <c r="I38" s="10"/>
      <c r="J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1"/>
      <c r="G39" s="11" t="str">
        <f aca="false">IF(D39="","",D39*F39)</f>
        <v/>
      </c>
      <c r="H39" s="10"/>
      <c r="I39" s="10"/>
      <c r="J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1"/>
      <c r="G40" s="11" t="str">
        <f aca="false">IF(D40="","",D40*F40)</f>
        <v/>
      </c>
      <c r="H40" s="10"/>
      <c r="I40" s="10"/>
      <c r="J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1"/>
      <c r="G41" s="11" t="str">
        <f aca="false">IF(D41="","",D41*F41)</f>
        <v/>
      </c>
      <c r="H41" s="10"/>
      <c r="I41" s="10"/>
      <c r="J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1"/>
      <c r="G42" s="11" t="str">
        <f aca="false">IF(D42="","",D42*F42)</f>
        <v/>
      </c>
      <c r="H42" s="10"/>
      <c r="I42" s="10"/>
      <c r="J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1"/>
      <c r="G43" s="11" t="str">
        <f aca="false">IF(D43="","",D43*F43)</f>
        <v/>
      </c>
      <c r="H43" s="10"/>
      <c r="I43" s="10"/>
      <c r="J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1"/>
      <c r="G44" s="11" t="str">
        <f aca="false">IF(D44="","",D44*F44)</f>
        <v/>
      </c>
      <c r="H44" s="10"/>
      <c r="I44" s="10"/>
      <c r="J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1"/>
      <c r="G45" s="11" t="str">
        <f aca="false">IF(D45="","",D45*F45)</f>
        <v/>
      </c>
      <c r="H45" s="10"/>
      <c r="I45" s="10"/>
      <c r="J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1"/>
      <c r="G46" s="11" t="str">
        <f aca="false">IF(D46="","",D46*F46)</f>
        <v/>
      </c>
      <c r="H46" s="10"/>
      <c r="I46" s="10"/>
      <c r="J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1"/>
      <c r="G47" s="11" t="str">
        <f aca="false">IF(D47="","",D47*F47)</f>
        <v/>
      </c>
      <c r="H47" s="10"/>
      <c r="I47" s="10"/>
      <c r="J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1"/>
      <c r="G48" s="11" t="str">
        <f aca="false">IF(D48="","",D48*F48)</f>
        <v/>
      </c>
      <c r="H48" s="10"/>
      <c r="I48" s="10"/>
      <c r="J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1"/>
      <c r="G49" s="11" t="str">
        <f aca="false">IF(D49="","",D49*F49)</f>
        <v/>
      </c>
      <c r="H49" s="10"/>
      <c r="I49" s="10"/>
      <c r="J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1"/>
      <c r="G50" s="11" t="str">
        <f aca="false">IF(D50="","",D50*F50)</f>
        <v/>
      </c>
      <c r="H50" s="10"/>
      <c r="I50" s="10"/>
      <c r="J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1"/>
      <c r="G51" s="11" t="str">
        <f aca="false">IF(D51="","",D51*F51)</f>
        <v/>
      </c>
      <c r="H51" s="10"/>
      <c r="I51" s="10"/>
      <c r="J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1"/>
      <c r="G52" s="11" t="str">
        <f aca="false">IF(D52="","",D52*F52)</f>
        <v/>
      </c>
      <c r="H52" s="10"/>
      <c r="I52" s="10"/>
      <c r="J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1"/>
      <c r="G53" s="11" t="str">
        <f aca="false">IF(D53="","",D53*F53)</f>
        <v/>
      </c>
      <c r="H53" s="10"/>
      <c r="I53" s="10"/>
      <c r="J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1"/>
      <c r="G54" s="11" t="str">
        <f aca="false">IF(D54="","",D54*F54)</f>
        <v/>
      </c>
      <c r="H54" s="10"/>
      <c r="I54" s="10"/>
      <c r="J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1"/>
      <c r="G55" s="11" t="str">
        <f aca="false">IF(D55="","",D55*F55)</f>
        <v/>
      </c>
      <c r="H55" s="10"/>
      <c r="I55" s="10"/>
      <c r="J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1"/>
      <c r="G56" s="11" t="str">
        <f aca="false">IF(D56="","",D56*F56)</f>
        <v/>
      </c>
      <c r="H56" s="10"/>
      <c r="I56" s="10"/>
      <c r="J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1"/>
      <c r="G57" s="11" t="str">
        <f aca="false">IF(D57="","",D57*F57)</f>
        <v/>
      </c>
      <c r="H57" s="10"/>
      <c r="I57" s="10"/>
      <c r="J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1"/>
      <c r="G58" s="11" t="str">
        <f aca="false">IF(D58="","",D58*F58)</f>
        <v/>
      </c>
      <c r="H58" s="10"/>
      <c r="I58" s="10"/>
      <c r="J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1"/>
      <c r="G59" s="11" t="str">
        <f aca="false">IF(D59="","",D59*F59)</f>
        <v/>
      </c>
      <c r="H59" s="10"/>
      <c r="I59" s="10"/>
      <c r="J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1"/>
      <c r="G60" s="11" t="str">
        <f aca="false">IF(D60="","",D60*F60)</f>
        <v/>
      </c>
      <c r="H60" s="10"/>
      <c r="I60" s="10"/>
      <c r="J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1"/>
      <c r="G61" s="11" t="str">
        <f aca="false">IF(D61="","",D61*F61)</f>
        <v/>
      </c>
      <c r="H61" s="10"/>
      <c r="I61" s="10"/>
      <c r="J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1"/>
      <c r="G62" s="11" t="str">
        <f aca="false">IF(D62="","",D62*F62)</f>
        <v/>
      </c>
      <c r="H62" s="10"/>
      <c r="I62" s="10"/>
      <c r="J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1"/>
      <c r="G63" s="11" t="str">
        <f aca="false">IF(D63="","",D63*F63)</f>
        <v/>
      </c>
      <c r="H63" s="10"/>
      <c r="I63" s="10"/>
      <c r="J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1"/>
      <c r="G64" s="11" t="str">
        <f aca="false">IF(D64="","",D64*F64)</f>
        <v/>
      </c>
      <c r="H64" s="10"/>
      <c r="I64" s="10"/>
      <c r="J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1"/>
      <c r="G65" s="11" t="str">
        <f aca="false">IF(D65="","",D65*F65)</f>
        <v/>
      </c>
      <c r="H65" s="10"/>
      <c r="I65" s="10"/>
      <c r="J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1"/>
      <c r="G66" s="11" t="str">
        <f aca="false">IF(D66="","",D66*F66)</f>
        <v/>
      </c>
      <c r="H66" s="10"/>
      <c r="I66" s="10"/>
      <c r="J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1"/>
      <c r="G67" s="11" t="str">
        <f aca="false">IF(D67="","",D67*F67)</f>
        <v/>
      </c>
      <c r="H67" s="10"/>
      <c r="I67" s="10"/>
      <c r="J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1"/>
      <c r="G68" s="11" t="str">
        <f aca="false">IF(D68="","",D68*F68)</f>
        <v/>
      </c>
      <c r="H68" s="10"/>
      <c r="I68" s="10"/>
      <c r="J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1"/>
      <c r="G69" s="11" t="str">
        <f aca="false">IF(D69="","",D69*F69)</f>
        <v/>
      </c>
      <c r="H69" s="10"/>
      <c r="I69" s="10"/>
      <c r="J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1"/>
      <c r="G70" s="11" t="str">
        <f aca="false">IF(D70="","",D70*F70)</f>
        <v/>
      </c>
      <c r="H70" s="10"/>
      <c r="I70" s="10"/>
      <c r="J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1"/>
      <c r="G71" s="11" t="str">
        <f aca="false">IF(D71="","",D71*F71)</f>
        <v/>
      </c>
      <c r="H71" s="10"/>
      <c r="I71" s="10"/>
      <c r="J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1"/>
      <c r="G72" s="11" t="str">
        <f aca="false">IF(D72="","",D72*F72)</f>
        <v/>
      </c>
      <c r="H72" s="10"/>
      <c r="I72" s="10"/>
      <c r="J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1"/>
      <c r="G73" s="11" t="str">
        <f aca="false">IF(D73="","",D73*F73)</f>
        <v/>
      </c>
      <c r="H73" s="10"/>
      <c r="I73" s="10"/>
      <c r="J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1"/>
      <c r="G74" s="11" t="str">
        <f aca="false">IF(D74="","",D74*F74)</f>
        <v/>
      </c>
      <c r="H74" s="10"/>
      <c r="I74" s="10"/>
      <c r="J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1"/>
      <c r="G75" s="11" t="str">
        <f aca="false">IF(D75="","",D75*F75)</f>
        <v/>
      </c>
      <c r="H75" s="10"/>
      <c r="I75" s="10"/>
      <c r="J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1"/>
      <c r="G76" s="11" t="str">
        <f aca="false">IF(D76="","",D76*F76)</f>
        <v/>
      </c>
      <c r="H76" s="10"/>
      <c r="I76" s="10"/>
      <c r="J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1"/>
      <c r="G77" s="11" t="str">
        <f aca="false">IF(D77="","",D77*F77)</f>
        <v/>
      </c>
      <c r="H77" s="10"/>
      <c r="I77" s="10"/>
      <c r="J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1"/>
      <c r="G78" s="11" t="str">
        <f aca="false">IF(D78="","",D78*F78)</f>
        <v/>
      </c>
      <c r="H78" s="10"/>
      <c r="I78" s="10"/>
      <c r="J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1"/>
      <c r="G79" s="11" t="str">
        <f aca="false">IF(D79="","",D79*F79)</f>
        <v/>
      </c>
      <c r="H79" s="10"/>
      <c r="I79" s="10"/>
      <c r="J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1"/>
      <c r="G80" s="11" t="str">
        <f aca="false">IF(D80="","",D80*F80)</f>
        <v/>
      </c>
      <c r="H80" s="10"/>
      <c r="I80" s="10"/>
      <c r="J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1"/>
      <c r="G81" s="11" t="str">
        <f aca="false">IF(D81="","",D81*F81)</f>
        <v/>
      </c>
      <c r="H81" s="10"/>
      <c r="I81" s="10"/>
      <c r="J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1"/>
      <c r="G82" s="11" t="str">
        <f aca="false">IF(D82="","",D82*F82)</f>
        <v/>
      </c>
      <c r="H82" s="10"/>
      <c r="I82" s="10"/>
      <c r="J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1"/>
      <c r="G83" s="11" t="str">
        <f aca="false">IF(D83="","",D83*F83)</f>
        <v/>
      </c>
      <c r="H83" s="10"/>
      <c r="I83" s="10"/>
      <c r="J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1"/>
      <c r="G84" s="11" t="str">
        <f aca="false">IF(D84="","",D84*F84)</f>
        <v/>
      </c>
      <c r="H84" s="10"/>
      <c r="I84" s="10"/>
      <c r="J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1"/>
      <c r="G85" s="11" t="str">
        <f aca="false">IF(D85="","",D85*F85)</f>
        <v/>
      </c>
      <c r="H85" s="10"/>
      <c r="I85" s="10"/>
      <c r="J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1"/>
      <c r="G86" s="11" t="str">
        <f aca="false">IF(D86="","",D86*F86)</f>
        <v/>
      </c>
      <c r="H86" s="10"/>
      <c r="I86" s="10"/>
      <c r="J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1"/>
      <c r="G87" s="11" t="str">
        <f aca="false">IF(D87="","",D87*F87)</f>
        <v/>
      </c>
      <c r="H87" s="10"/>
      <c r="I87" s="10"/>
      <c r="J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1"/>
      <c r="G88" s="11" t="str">
        <f aca="false">IF(D88="","",D88*F88)</f>
        <v/>
      </c>
      <c r="H88" s="10"/>
      <c r="I88" s="10"/>
      <c r="J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1"/>
      <c r="G89" s="11" t="str">
        <f aca="false">IF(D89="","",D89*F89)</f>
        <v/>
      </c>
      <c r="H89" s="10"/>
      <c r="I89" s="10"/>
      <c r="J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1"/>
      <c r="G90" s="11" t="str">
        <f aca="false">IF(D90="","",D90*F90)</f>
        <v/>
      </c>
      <c r="H90" s="10"/>
      <c r="I90" s="10"/>
      <c r="J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1"/>
      <c r="G91" s="11" t="str">
        <f aca="false">IF(D91="","",D91*F91)</f>
        <v/>
      </c>
      <c r="H91" s="10"/>
      <c r="I91" s="10"/>
      <c r="J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1"/>
      <c r="G92" s="11" t="str">
        <f aca="false">IF(D92="","",D92*F92)</f>
        <v/>
      </c>
      <c r="H92" s="10"/>
      <c r="I92" s="10"/>
      <c r="J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1"/>
      <c r="G93" s="11" t="str">
        <f aca="false">IF(D93="","",D93*F93)</f>
        <v/>
      </c>
      <c r="H93" s="10"/>
      <c r="I93" s="10"/>
      <c r="J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1"/>
      <c r="G94" s="11" t="str">
        <f aca="false">IF(D94="","",D94*F94)</f>
        <v/>
      </c>
      <c r="H94" s="10"/>
      <c r="I94" s="10"/>
      <c r="J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1"/>
      <c r="G95" s="11" t="str">
        <f aca="false">IF(D95="","",D95*F95)</f>
        <v/>
      </c>
      <c r="H95" s="10"/>
      <c r="I95" s="10"/>
      <c r="J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1"/>
      <c r="G96" s="11" t="str">
        <f aca="false">IF(D96="","",D96*F96)</f>
        <v/>
      </c>
      <c r="H96" s="10"/>
      <c r="I96" s="10"/>
      <c r="J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1"/>
      <c r="G97" s="11" t="str">
        <f aca="false">IF(D97="","",D97*F97)</f>
        <v/>
      </c>
      <c r="H97" s="10"/>
      <c r="I97" s="10"/>
      <c r="J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1"/>
      <c r="G98" s="11" t="str">
        <f aca="false">IF(D98="","",D98*F98)</f>
        <v/>
      </c>
      <c r="H98" s="10"/>
      <c r="I98" s="10"/>
      <c r="J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1"/>
      <c r="G99" s="11" t="str">
        <f aca="false">IF(D99="","",D99*F99)</f>
        <v/>
      </c>
      <c r="H99" s="10"/>
      <c r="I99" s="10"/>
      <c r="J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1"/>
      <c r="G100" s="11" t="str">
        <f aca="false">IF(D100="","",D100*F100)</f>
        <v/>
      </c>
      <c r="H100" s="10"/>
      <c r="I100" s="10"/>
      <c r="J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1"/>
      <c r="G101" s="11" t="str">
        <f aca="false">IF(D101="","",D101*F101)</f>
        <v/>
      </c>
      <c r="H101" s="10"/>
      <c r="I101" s="10"/>
      <c r="J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1"/>
      <c r="G102" s="11" t="str">
        <f aca="false">IF(D102="","",D102*F102)</f>
        <v/>
      </c>
      <c r="H102" s="10"/>
      <c r="I102" s="10"/>
      <c r="J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1"/>
      <c r="G103" s="11" t="str">
        <f aca="false">IF(D103="","",D103*F103)</f>
        <v/>
      </c>
      <c r="H103" s="10"/>
      <c r="I103" s="10"/>
      <c r="J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1"/>
      <c r="G104" s="11" t="str">
        <f aca="false">IF(D104="","",D104*F104)</f>
        <v/>
      </c>
      <c r="H104" s="10"/>
      <c r="I104" s="10"/>
      <c r="J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1"/>
      <c r="G105" s="11" t="str">
        <f aca="false">IF(D105="","",D105*F105)</f>
        <v/>
      </c>
      <c r="H105" s="10"/>
      <c r="I105" s="10"/>
      <c r="J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1"/>
      <c r="G106" s="11" t="str">
        <f aca="false">IF(D106="","",D106*F106)</f>
        <v/>
      </c>
      <c r="H106" s="10"/>
      <c r="I106" s="10"/>
      <c r="J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1"/>
      <c r="G107" s="11" t="str">
        <f aca="false">IF(D107="","",D107*F107)</f>
        <v/>
      </c>
      <c r="H107" s="10"/>
      <c r="I107" s="10"/>
      <c r="J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1"/>
      <c r="G108" s="11" t="str">
        <f aca="false">IF(D108="","",D108*F108)</f>
        <v/>
      </c>
      <c r="H108" s="10"/>
      <c r="I108" s="10"/>
      <c r="J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1"/>
      <c r="G109" s="11" t="str">
        <f aca="false">IF(D109="","",D109*F109)</f>
        <v/>
      </c>
      <c r="H109" s="10"/>
      <c r="I109" s="10"/>
      <c r="J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1"/>
      <c r="G110" s="11" t="str">
        <f aca="false">IF(D110="","",D110*F110)</f>
        <v/>
      </c>
      <c r="H110" s="10"/>
      <c r="I110" s="10"/>
      <c r="J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1"/>
      <c r="G111" s="11" t="str">
        <f aca="false">IF(D111="","",D111*F111)</f>
        <v/>
      </c>
      <c r="H111" s="10"/>
      <c r="I111" s="10"/>
      <c r="J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1"/>
      <c r="G112" s="11" t="str">
        <f aca="false">IF(D112="","",D112*F112)</f>
        <v/>
      </c>
      <c r="H112" s="10"/>
      <c r="I112" s="10"/>
      <c r="J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1"/>
      <c r="G113" s="11" t="str">
        <f aca="false">IF(D113="","",D113*F113)</f>
        <v/>
      </c>
      <c r="H113" s="10"/>
      <c r="I113" s="10"/>
      <c r="J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1"/>
      <c r="G114" s="11" t="str">
        <f aca="false">IF(D114="","",D114*F114)</f>
        <v/>
      </c>
      <c r="H114" s="10"/>
      <c r="I114" s="10"/>
      <c r="J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1"/>
      <c r="G115" s="11" t="str">
        <f aca="false">IF(D115="","",D115*F115)</f>
        <v/>
      </c>
      <c r="H115" s="10"/>
      <c r="I115" s="10"/>
      <c r="J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1"/>
      <c r="G116" s="11" t="str">
        <f aca="false">IF(D116="","",D116*F116)</f>
        <v/>
      </c>
      <c r="H116" s="10"/>
      <c r="I116" s="10"/>
      <c r="J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1"/>
      <c r="G117" s="11" t="str">
        <f aca="false">IF(D117="","",D117*F117)</f>
        <v/>
      </c>
      <c r="H117" s="10"/>
      <c r="I117" s="10"/>
      <c r="J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1"/>
      <c r="G118" s="11" t="str">
        <f aca="false">IF(D118="","",D118*F118)</f>
        <v/>
      </c>
      <c r="H118" s="10"/>
      <c r="I118" s="10"/>
      <c r="J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1"/>
      <c r="G119" s="11" t="str">
        <f aca="false">IF(D119="","",D119*F119)</f>
        <v/>
      </c>
      <c r="H119" s="10"/>
      <c r="I119" s="10"/>
      <c r="J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1"/>
      <c r="G120" s="11" t="str">
        <f aca="false">IF(D120="","",D120*F120)</f>
        <v/>
      </c>
      <c r="H120" s="10"/>
      <c r="I120" s="10"/>
      <c r="J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1"/>
      <c r="G121" s="11" t="str">
        <f aca="false">IF(D121="","",D121*F121)</f>
        <v/>
      </c>
      <c r="H121" s="10"/>
      <c r="I121" s="10"/>
      <c r="J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1"/>
      <c r="G122" s="11" t="str">
        <f aca="false">IF(D122="","",D122*F122)</f>
        <v/>
      </c>
      <c r="H122" s="10"/>
      <c r="I122" s="10"/>
      <c r="J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1"/>
      <c r="G123" s="11" t="str">
        <f aca="false">IF(D123="","",D123*F123)</f>
        <v/>
      </c>
      <c r="H123" s="10"/>
      <c r="I123" s="10"/>
      <c r="J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1"/>
      <c r="G124" s="11" t="str">
        <f aca="false">IF(D124="","",D124*F124)</f>
        <v/>
      </c>
      <c r="H124" s="10"/>
      <c r="I124" s="10"/>
      <c r="J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1"/>
      <c r="G125" s="11" t="str">
        <f aca="false">IF(D125="","",D125*F125)</f>
        <v/>
      </c>
      <c r="H125" s="10"/>
      <c r="I125" s="10"/>
      <c r="J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1"/>
      <c r="G126" s="11" t="str">
        <f aca="false">IF(D126="","",D126*F126)</f>
        <v/>
      </c>
      <c r="H126" s="10"/>
      <c r="I126" s="10"/>
      <c r="J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1"/>
      <c r="G127" s="11" t="str">
        <f aca="false">IF(D127="","",D127*F127)</f>
        <v/>
      </c>
      <c r="H127" s="10"/>
      <c r="I127" s="10"/>
      <c r="J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1"/>
      <c r="G128" s="11" t="str">
        <f aca="false">IF(D128="","",D128*F128)</f>
        <v/>
      </c>
      <c r="H128" s="10"/>
      <c r="I128" s="10"/>
      <c r="J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1"/>
      <c r="G129" s="11" t="str">
        <f aca="false">IF(D129="","",D129*F129)</f>
        <v/>
      </c>
      <c r="H129" s="10"/>
      <c r="I129" s="10"/>
      <c r="J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1"/>
      <c r="G130" s="11" t="str">
        <f aca="false">IF(D130="","",D130*F130)</f>
        <v/>
      </c>
      <c r="H130" s="10"/>
      <c r="I130" s="10"/>
      <c r="J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1"/>
      <c r="G131" s="11" t="str">
        <f aca="false">IF(D131="","",D131*F131)</f>
        <v/>
      </c>
      <c r="H131" s="10"/>
      <c r="I131" s="10"/>
      <c r="J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1"/>
      <c r="G132" s="11" t="str">
        <f aca="false">IF(D132="","",D132*F132)</f>
        <v/>
      </c>
      <c r="H132" s="10"/>
      <c r="I132" s="10"/>
      <c r="J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1"/>
      <c r="G133" s="11" t="str">
        <f aca="false">IF(D133="","",D133*F133)</f>
        <v/>
      </c>
      <c r="H133" s="10"/>
      <c r="I133" s="10"/>
      <c r="J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1"/>
      <c r="G134" s="11" t="str">
        <f aca="false">IF(D134="","",D134*F134)</f>
        <v/>
      </c>
      <c r="H134" s="10"/>
      <c r="I134" s="10"/>
      <c r="J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1"/>
      <c r="G135" s="11" t="str">
        <f aca="false">IF(D135="","",D135*F135)</f>
        <v/>
      </c>
      <c r="H135" s="10"/>
      <c r="I135" s="10"/>
      <c r="J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1"/>
      <c r="G136" s="11" t="str">
        <f aca="false">IF(D136="","",D136*F136)</f>
        <v/>
      </c>
      <c r="H136" s="10"/>
      <c r="I136" s="10"/>
      <c r="J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1"/>
      <c r="G137" s="11" t="str">
        <f aca="false">IF(D137="","",D137*F137)</f>
        <v/>
      </c>
      <c r="H137" s="10"/>
      <c r="I137" s="10"/>
      <c r="J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1"/>
      <c r="G138" s="11" t="str">
        <f aca="false">IF(D138="","",D138*F138)</f>
        <v/>
      </c>
      <c r="H138" s="10"/>
      <c r="I138" s="10"/>
      <c r="J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1"/>
      <c r="G139" s="11" t="str">
        <f aca="false">IF(D139="","",D139*F139)</f>
        <v/>
      </c>
      <c r="H139" s="10"/>
      <c r="I139" s="10"/>
      <c r="J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1"/>
      <c r="G140" s="11" t="str">
        <f aca="false">IF(D140="","",D140*F140)</f>
        <v/>
      </c>
      <c r="H140" s="10"/>
      <c r="I140" s="10"/>
      <c r="J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1"/>
      <c r="G141" s="11" t="str">
        <f aca="false">IF(D141="","",D141*F141)</f>
        <v/>
      </c>
      <c r="H141" s="10"/>
      <c r="I141" s="10"/>
      <c r="J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1"/>
      <c r="G142" s="11" t="str">
        <f aca="false">IF(D142="","",D142*F142)</f>
        <v/>
      </c>
      <c r="H142" s="10"/>
      <c r="I142" s="10"/>
      <c r="J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1"/>
      <c r="G143" s="11" t="str">
        <f aca="false">IF(D143="","",D143*F143)</f>
        <v/>
      </c>
      <c r="H143" s="10"/>
      <c r="I143" s="10"/>
      <c r="J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1"/>
      <c r="G144" s="11" t="str">
        <f aca="false">IF(D144="","",D144*F144)</f>
        <v/>
      </c>
      <c r="H144" s="10"/>
      <c r="I144" s="10"/>
      <c r="J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1"/>
      <c r="G145" s="11" t="str">
        <f aca="false">IF(D145="","",D145*F145)</f>
        <v/>
      </c>
      <c r="H145" s="10"/>
      <c r="I145" s="10"/>
      <c r="J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1"/>
      <c r="G146" s="11" t="str">
        <f aca="false">IF(D146="","",D146*F146)</f>
        <v/>
      </c>
      <c r="H146" s="10"/>
      <c r="I146" s="10"/>
      <c r="J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1"/>
      <c r="G147" s="11" t="str">
        <f aca="false">IF(D147="","",D147*F147)</f>
        <v/>
      </c>
      <c r="H147" s="10"/>
      <c r="I147" s="10"/>
      <c r="J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1"/>
      <c r="G148" s="11" t="str">
        <f aca="false">IF(D148="","",D148*F148)</f>
        <v/>
      </c>
      <c r="H148" s="10"/>
      <c r="I148" s="10"/>
      <c r="J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1"/>
      <c r="G149" s="11" t="str">
        <f aca="false">IF(D149="","",D149*F149)</f>
        <v/>
      </c>
      <c r="H149" s="10"/>
      <c r="I149" s="10"/>
      <c r="J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1"/>
      <c r="G150" s="11" t="str">
        <f aca="false">IF(D150="","",D150*F150)</f>
        <v/>
      </c>
      <c r="H150" s="10"/>
      <c r="I150" s="10"/>
      <c r="J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1"/>
      <c r="G151" s="11" t="str">
        <f aca="false">IF(D151="","",D151*F151)</f>
        <v/>
      </c>
      <c r="H151" s="10"/>
      <c r="I151" s="10"/>
      <c r="J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1"/>
      <c r="G152" s="11" t="str">
        <f aca="false">IF(D152="","",D152*F152)</f>
        <v/>
      </c>
      <c r="H152" s="10"/>
      <c r="I152" s="10"/>
      <c r="J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1"/>
      <c r="G153" s="11" t="str">
        <f aca="false">IF(D153="","",D153*F153)</f>
        <v/>
      </c>
      <c r="H153" s="10"/>
      <c r="I153" s="10"/>
      <c r="J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1"/>
      <c r="G154" s="11" t="str">
        <f aca="false">IF(D154="","",D154*F154)</f>
        <v/>
      </c>
      <c r="H154" s="10"/>
      <c r="I154" s="10"/>
      <c r="J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1"/>
      <c r="G155" s="11" t="str">
        <f aca="false">IF(D155="","",D155*F155)</f>
        <v/>
      </c>
      <c r="H155" s="10"/>
      <c r="I155" s="10"/>
      <c r="J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1"/>
      <c r="G156" s="11" t="str">
        <f aca="false">IF(D156="","",D156*F156)</f>
        <v/>
      </c>
      <c r="H156" s="10"/>
      <c r="I156" s="10"/>
      <c r="J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1"/>
      <c r="G157" s="11" t="str">
        <f aca="false">IF(D157="","",D157*F157)</f>
        <v/>
      </c>
      <c r="H157" s="10"/>
      <c r="I157" s="10"/>
      <c r="J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1"/>
      <c r="G158" s="11" t="str">
        <f aca="false">IF(D158="","",D158*F158)</f>
        <v/>
      </c>
      <c r="H158" s="10"/>
      <c r="I158" s="10"/>
      <c r="J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1"/>
      <c r="G159" s="11" t="str">
        <f aca="false">IF(D159="","",D159*F159)</f>
        <v/>
      </c>
      <c r="H159" s="10"/>
      <c r="I159" s="10"/>
      <c r="J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1"/>
      <c r="G160" s="11" t="str">
        <f aca="false">IF(D160="","",D160*F160)</f>
        <v/>
      </c>
      <c r="H160" s="10"/>
      <c r="I160" s="10"/>
      <c r="J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1"/>
      <c r="G161" s="11" t="str">
        <f aca="false">IF(D161="","",D161*F161)</f>
        <v/>
      </c>
      <c r="H161" s="10"/>
      <c r="I161" s="10"/>
      <c r="J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1"/>
      <c r="G162" s="11" t="str">
        <f aca="false">IF(D162="","",D162*F162)</f>
        <v/>
      </c>
      <c r="H162" s="10"/>
      <c r="I162" s="10"/>
      <c r="J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1"/>
      <c r="G163" s="11" t="str">
        <f aca="false">IF(D163="","",D163*F163)</f>
        <v/>
      </c>
      <c r="H163" s="10"/>
      <c r="I163" s="10"/>
      <c r="J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1"/>
      <c r="G164" s="11" t="str">
        <f aca="false">IF(D164="","",D164*F164)</f>
        <v/>
      </c>
      <c r="H164" s="10"/>
      <c r="I164" s="10"/>
      <c r="J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1"/>
      <c r="G165" s="11" t="str">
        <f aca="false">IF(D165="","",D165*F165)</f>
        <v/>
      </c>
      <c r="H165" s="10"/>
      <c r="I165" s="10"/>
      <c r="J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1"/>
      <c r="G166" s="11" t="str">
        <f aca="false">IF(D166="","",D166*F166)</f>
        <v/>
      </c>
      <c r="H166" s="10"/>
      <c r="I166" s="10"/>
      <c r="J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1"/>
      <c r="G167" s="11" t="str">
        <f aca="false">IF(D167="","",D167*F167)</f>
        <v/>
      </c>
      <c r="H167" s="10"/>
      <c r="I167" s="10"/>
      <c r="J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1"/>
      <c r="G168" s="11" t="str">
        <f aca="false">IF(D168="","",D168*F168)</f>
        <v/>
      </c>
      <c r="H168" s="10"/>
      <c r="I168" s="10"/>
      <c r="J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1"/>
      <c r="G169" s="11" t="str">
        <f aca="false">IF(D169="","",D169*F169)</f>
        <v/>
      </c>
      <c r="H169" s="10"/>
      <c r="I169" s="10"/>
      <c r="J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1"/>
      <c r="G170" s="11" t="str">
        <f aca="false">IF(D170="","",D170*F170)</f>
        <v/>
      </c>
      <c r="H170" s="10"/>
      <c r="I170" s="10"/>
      <c r="J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1"/>
      <c r="G171" s="11" t="str">
        <f aca="false">IF(D171="","",D171*F171)</f>
        <v/>
      </c>
      <c r="H171" s="10"/>
      <c r="I171" s="10"/>
      <c r="J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1"/>
      <c r="G172" s="11" t="str">
        <f aca="false">IF(D172="","",D172*F172)</f>
        <v/>
      </c>
      <c r="H172" s="10"/>
      <c r="I172" s="10"/>
      <c r="J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1"/>
      <c r="G173" s="11" t="str">
        <f aca="false">IF(D173="","",D173*F173)</f>
        <v/>
      </c>
      <c r="H173" s="10"/>
      <c r="I173" s="10"/>
      <c r="J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1"/>
      <c r="G174" s="11" t="str">
        <f aca="false">IF(D174="","",D174*F174)</f>
        <v/>
      </c>
      <c r="H174" s="10"/>
      <c r="I174" s="10"/>
      <c r="J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1"/>
      <c r="G175" s="11" t="str">
        <f aca="false">IF(D175="","",D175*F175)</f>
        <v/>
      </c>
      <c r="H175" s="10"/>
      <c r="I175" s="10"/>
      <c r="J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1"/>
      <c r="G176" s="11" t="str">
        <f aca="false">IF(D176="","",D176*F176)</f>
        <v/>
      </c>
      <c r="H176" s="10"/>
      <c r="I176" s="10"/>
      <c r="J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1"/>
      <c r="G177" s="11" t="str">
        <f aca="false">IF(D177="","",D177*F177)</f>
        <v/>
      </c>
      <c r="H177" s="10"/>
      <c r="I177" s="10"/>
      <c r="J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1"/>
      <c r="G178" s="11" t="str">
        <f aca="false">IF(D178="","",D178*F178)</f>
        <v/>
      </c>
      <c r="H178" s="10"/>
      <c r="I178" s="10"/>
      <c r="J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1"/>
      <c r="G179" s="11" t="str">
        <f aca="false">IF(D179="","",D179*F179)</f>
        <v/>
      </c>
      <c r="H179" s="10"/>
      <c r="I179" s="10"/>
      <c r="J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1"/>
      <c r="G180" s="11" t="str">
        <f aca="false">IF(D180="","",D180*F180)</f>
        <v/>
      </c>
      <c r="H180" s="10"/>
      <c r="I180" s="10"/>
      <c r="J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1"/>
      <c r="G181" s="11" t="str">
        <f aca="false">IF(D181="","",D181*F181)</f>
        <v/>
      </c>
      <c r="H181" s="10"/>
      <c r="I181" s="10"/>
      <c r="J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1"/>
      <c r="G182" s="11" t="str">
        <f aca="false">IF(D182="","",D182*F182)</f>
        <v/>
      </c>
      <c r="H182" s="10"/>
      <c r="I182" s="10"/>
      <c r="J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1"/>
      <c r="G183" s="11" t="str">
        <f aca="false">IF(D183="","",D183*F183)</f>
        <v/>
      </c>
      <c r="H183" s="10"/>
      <c r="I183" s="10"/>
      <c r="J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1"/>
      <c r="G184" s="11" t="str">
        <f aca="false">IF(D184="","",D184*F184)</f>
        <v/>
      </c>
      <c r="H184" s="10"/>
      <c r="I184" s="10"/>
      <c r="J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1"/>
      <c r="G185" s="11" t="str">
        <f aca="false">IF(D185="","",D185*F185)</f>
        <v/>
      </c>
      <c r="H185" s="10"/>
      <c r="I185" s="10"/>
      <c r="J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1"/>
      <c r="G186" s="11" t="str">
        <f aca="false">IF(D186="","",D186*F186)</f>
        <v/>
      </c>
      <c r="H186" s="10"/>
      <c r="I186" s="10"/>
      <c r="J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1"/>
      <c r="G187" s="11" t="str">
        <f aca="false">IF(D187="","",D187*F187)</f>
        <v/>
      </c>
      <c r="H187" s="10"/>
      <c r="I187" s="10"/>
      <c r="J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1"/>
      <c r="G188" s="11" t="str">
        <f aca="false">IF(D188="","",D188*F188)</f>
        <v/>
      </c>
      <c r="H188" s="10"/>
      <c r="I188" s="10"/>
      <c r="J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1"/>
      <c r="G189" s="11" t="str">
        <f aca="false">IF(D189="","",D189*F189)</f>
        <v/>
      </c>
      <c r="H189" s="10"/>
      <c r="I189" s="10"/>
      <c r="J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1"/>
      <c r="G190" s="11" t="str">
        <f aca="false">IF(D190="","",D190*F190)</f>
        <v/>
      </c>
      <c r="H190" s="10"/>
      <c r="I190" s="10"/>
      <c r="J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1"/>
      <c r="G191" s="11" t="str">
        <f aca="false">IF(D191="","",D191*F191)</f>
        <v/>
      </c>
      <c r="H191" s="10"/>
      <c r="I191" s="10"/>
      <c r="J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1"/>
      <c r="G192" s="11" t="str">
        <f aca="false">IF(D192="","",D192*F192)</f>
        <v/>
      </c>
      <c r="H192" s="10"/>
      <c r="I192" s="10"/>
      <c r="J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1"/>
      <c r="G193" s="11" t="str">
        <f aca="false">IF(D193="","",D193*F193)</f>
        <v/>
      </c>
      <c r="H193" s="10"/>
      <c r="I193" s="10"/>
      <c r="J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1"/>
      <c r="G194" s="11" t="str">
        <f aca="false">IF(D194="","",D194*F194)</f>
        <v/>
      </c>
      <c r="H194" s="10"/>
      <c r="I194" s="10"/>
      <c r="J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1"/>
      <c r="G195" s="11" t="str">
        <f aca="false">IF(D195="","",D195*F195)</f>
        <v/>
      </c>
      <c r="H195" s="10"/>
      <c r="I195" s="10"/>
      <c r="J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1"/>
      <c r="G196" s="11" t="str">
        <f aca="false">IF(D196="","",D196*F196)</f>
        <v/>
      </c>
      <c r="H196" s="10"/>
      <c r="I196" s="10"/>
      <c r="J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1"/>
      <c r="G197" s="11" t="str">
        <f aca="false">IF(D197="","",D197*F197)</f>
        <v/>
      </c>
      <c r="H197" s="10"/>
      <c r="I197" s="10"/>
      <c r="J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1"/>
      <c r="G198" s="11" t="str">
        <f aca="false">IF(D198="","",D198*F198)</f>
        <v/>
      </c>
      <c r="H198" s="10"/>
      <c r="I198" s="10"/>
      <c r="J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1"/>
      <c r="G199" s="11" t="str">
        <f aca="false">IF(D199="","",D199*F199)</f>
        <v/>
      </c>
      <c r="H199" s="10"/>
      <c r="I199" s="10"/>
      <c r="J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1"/>
      <c r="G200" s="11" t="str">
        <f aca="false">IF(D200="","",D200*F200)</f>
        <v/>
      </c>
      <c r="H200" s="10"/>
      <c r="I200" s="10"/>
      <c r="J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1"/>
      <c r="G201" s="11" t="str">
        <f aca="false">IF(D201="","",D201*F201)</f>
        <v/>
      </c>
      <c r="H201" s="10"/>
      <c r="I201" s="10"/>
      <c r="J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1"/>
      <c r="G202" s="11" t="str">
        <f aca="false">IF(D202="","",D202*F202)</f>
        <v/>
      </c>
      <c r="H202" s="10"/>
      <c r="I202" s="10"/>
      <c r="J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1"/>
      <c r="G203" s="11" t="str">
        <f aca="false">IF(D203="","",D203*F203)</f>
        <v/>
      </c>
      <c r="H203" s="10"/>
      <c r="I203" s="10"/>
      <c r="J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1"/>
      <c r="G204" s="11" t="str">
        <f aca="false">IF(D204="","",D204*F204)</f>
        <v/>
      </c>
      <c r="H204" s="10"/>
      <c r="I204" s="10"/>
      <c r="J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1"/>
      <c r="G205" s="11" t="str">
        <f aca="false">IF(D205="","",D205*F205)</f>
        <v/>
      </c>
      <c r="H205" s="10"/>
      <c r="I205" s="10"/>
      <c r="J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1"/>
      <c r="G206" s="11" t="str">
        <f aca="false">IF(D206="","",D206*F206)</f>
        <v/>
      </c>
      <c r="H206" s="10"/>
      <c r="I206" s="10"/>
      <c r="J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1"/>
      <c r="G207" s="11" t="str">
        <f aca="false">IF(D207="","",D207*F207)</f>
        <v/>
      </c>
      <c r="H207" s="10"/>
      <c r="I207" s="10"/>
      <c r="J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1"/>
      <c r="G208" s="11" t="str">
        <f aca="false">IF(D208="","",D208*F208)</f>
        <v/>
      </c>
      <c r="H208" s="10"/>
      <c r="I208" s="10"/>
      <c r="J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1"/>
      <c r="G209" s="11" t="str">
        <f aca="false">IF(D209="","",D209*F209)</f>
        <v/>
      </c>
      <c r="H209" s="10"/>
      <c r="I209" s="10"/>
      <c r="J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1"/>
      <c r="G210" s="11" t="str">
        <f aca="false">IF(D210="","",D210*F210)</f>
        <v/>
      </c>
      <c r="H210" s="10"/>
      <c r="I210" s="10"/>
      <c r="J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1"/>
      <c r="G211" s="11" t="str">
        <f aca="false">IF(D211="","",D211*F211)</f>
        <v/>
      </c>
      <c r="H211" s="10"/>
      <c r="I211" s="10"/>
      <c r="J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1"/>
      <c r="G212" s="11" t="str">
        <f aca="false">IF(D212="","",D212*F212)</f>
        <v/>
      </c>
      <c r="H212" s="10"/>
      <c r="I212" s="10"/>
      <c r="J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1"/>
      <c r="G213" s="11" t="str">
        <f aca="false">IF(D213="","",D213*F213)</f>
        <v/>
      </c>
      <c r="H213" s="10"/>
      <c r="I213" s="10"/>
      <c r="J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1"/>
      <c r="G214" s="11" t="str">
        <f aca="false">IF(D214="","",D214*F214)</f>
        <v/>
      </c>
      <c r="H214" s="10"/>
      <c r="I214" s="10"/>
      <c r="J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1"/>
      <c r="G215" s="11" t="str">
        <f aca="false">IF(D215="","",D215*F215)</f>
        <v/>
      </c>
      <c r="H215" s="10"/>
      <c r="I215" s="10"/>
      <c r="J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1"/>
      <c r="G216" s="11" t="str">
        <f aca="false">IF(D216="","",D216*F216)</f>
        <v/>
      </c>
      <c r="H216" s="10"/>
      <c r="I216" s="10"/>
      <c r="J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1"/>
      <c r="G217" s="11" t="str">
        <f aca="false">IF(D217="","",D217*F217)</f>
        <v/>
      </c>
      <c r="H217" s="10"/>
      <c r="I217" s="10"/>
      <c r="J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1"/>
      <c r="G218" s="11" t="str">
        <f aca="false">IF(D218="","",D218*F218)</f>
        <v/>
      </c>
      <c r="H218" s="10"/>
      <c r="I218" s="10"/>
      <c r="J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1"/>
      <c r="G219" s="11" t="str">
        <f aca="false">IF(D219="","",D219*F219)</f>
        <v/>
      </c>
      <c r="H219" s="10"/>
      <c r="I219" s="10"/>
      <c r="J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1"/>
      <c r="G220" s="11" t="str">
        <f aca="false">IF(D220="","",D220*F220)</f>
        <v/>
      </c>
      <c r="H220" s="10"/>
      <c r="I220" s="10"/>
      <c r="J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1"/>
      <c r="G221" s="11" t="str">
        <f aca="false">IF(D221="","",D221*F221)</f>
        <v/>
      </c>
      <c r="H221" s="10"/>
      <c r="I221" s="10"/>
      <c r="J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1"/>
      <c r="G222" s="11" t="str">
        <f aca="false">IF(D222="","",D222*F222)</f>
        <v/>
      </c>
      <c r="H222" s="10"/>
      <c r="I222" s="10"/>
      <c r="J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1"/>
      <c r="G223" s="11" t="str">
        <f aca="false">IF(D223="","",D223*F223)</f>
        <v/>
      </c>
      <c r="H223" s="10"/>
      <c r="I223" s="10"/>
      <c r="J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1"/>
      <c r="G224" s="11" t="str">
        <f aca="false">IF(D224="","",D224*F224)</f>
        <v/>
      </c>
      <c r="H224" s="10"/>
      <c r="I224" s="10"/>
      <c r="J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1"/>
      <c r="G225" s="11" t="str">
        <f aca="false">IF(D225="","",D225*F225)</f>
        <v/>
      </c>
      <c r="H225" s="10"/>
      <c r="I225" s="10"/>
      <c r="J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1"/>
      <c r="G226" s="11" t="str">
        <f aca="false">IF(D226="","",D226*F226)</f>
        <v/>
      </c>
      <c r="H226" s="10"/>
      <c r="I226" s="10"/>
      <c r="J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1"/>
      <c r="G227" s="11" t="str">
        <f aca="false">IF(D227="","",D227*F227)</f>
        <v/>
      </c>
      <c r="H227" s="10"/>
      <c r="I227" s="10"/>
      <c r="J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1"/>
      <c r="G228" s="11" t="str">
        <f aca="false">IF(D228="","",D228*F228)</f>
        <v/>
      </c>
      <c r="H228" s="10"/>
      <c r="I228" s="10"/>
      <c r="J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1"/>
      <c r="G229" s="11" t="str">
        <f aca="false">IF(D229="","",D229*F229)</f>
        <v/>
      </c>
      <c r="H229" s="10"/>
      <c r="I229" s="10"/>
      <c r="J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1"/>
      <c r="G230" s="11" t="str">
        <f aca="false">IF(D230="","",D230*F230)</f>
        <v/>
      </c>
      <c r="H230" s="10"/>
      <c r="I230" s="10"/>
      <c r="J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1"/>
      <c r="G231" s="11" t="str">
        <f aca="false">IF(D231="","",D231*F231)</f>
        <v/>
      </c>
      <c r="H231" s="10"/>
      <c r="I231" s="10"/>
      <c r="J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1"/>
      <c r="G232" s="11" t="str">
        <f aca="false">IF(D232="","",D232*F232)</f>
        <v/>
      </c>
      <c r="H232" s="10"/>
      <c r="I232" s="10"/>
      <c r="J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1"/>
      <c r="G233" s="11" t="str">
        <f aca="false">IF(D233="","",D233*F233)</f>
        <v/>
      </c>
      <c r="H233" s="10"/>
      <c r="I233" s="10"/>
      <c r="J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1"/>
      <c r="G234" s="11" t="str">
        <f aca="false">IF(D234="","",D234*F234)</f>
        <v/>
      </c>
      <c r="H234" s="10"/>
      <c r="I234" s="10"/>
      <c r="J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1"/>
      <c r="G235" s="11" t="str">
        <f aca="false">IF(D235="","",D235*F235)</f>
        <v/>
      </c>
      <c r="H235" s="10"/>
      <c r="I235" s="10"/>
      <c r="J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1"/>
      <c r="G236" s="11" t="str">
        <f aca="false">IF(D236="","",D236*F236)</f>
        <v/>
      </c>
      <c r="H236" s="10"/>
      <c r="I236" s="10"/>
      <c r="J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1"/>
      <c r="G237" s="11" t="str">
        <f aca="false">IF(D237="","",D237*F237)</f>
        <v/>
      </c>
      <c r="H237" s="10"/>
      <c r="I237" s="10"/>
      <c r="J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1"/>
      <c r="G238" s="11" t="str">
        <f aca="false">IF(D238="","",D238*F238)</f>
        <v/>
      </c>
      <c r="H238" s="10"/>
      <c r="I238" s="10"/>
      <c r="J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1"/>
      <c r="G239" s="11" t="str">
        <f aca="false">IF(D239="","",D239*F239)</f>
        <v/>
      </c>
      <c r="H239" s="10"/>
      <c r="I239" s="10"/>
      <c r="J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1"/>
      <c r="G240" s="11" t="str">
        <f aca="false">IF(D240="","",D240*F240)</f>
        <v/>
      </c>
      <c r="H240" s="10"/>
      <c r="I240" s="10"/>
      <c r="J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1"/>
      <c r="G241" s="11" t="str">
        <f aca="false">IF(D241="","",D241*F241)</f>
        <v/>
      </c>
      <c r="H241" s="10"/>
      <c r="I241" s="10"/>
      <c r="J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1"/>
      <c r="G242" s="11" t="str">
        <f aca="false">IF(D242="","",D242*F242)</f>
        <v/>
      </c>
      <c r="H242" s="10"/>
      <c r="I242" s="10"/>
      <c r="J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1"/>
      <c r="G243" s="11" t="str">
        <f aca="false">IF(D243="","",D243*F243)</f>
        <v/>
      </c>
      <c r="H243" s="10"/>
      <c r="I243" s="10"/>
      <c r="J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1"/>
      <c r="G244" s="11" t="str">
        <f aca="false">IF(D244="","",D244*F244)</f>
        <v/>
      </c>
      <c r="H244" s="10"/>
      <c r="I244" s="10"/>
      <c r="J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1"/>
      <c r="G245" s="11" t="str">
        <f aca="false">IF(D245="","",D245*F245)</f>
        <v/>
      </c>
      <c r="H245" s="10"/>
      <c r="I245" s="10"/>
      <c r="J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1"/>
      <c r="G246" s="11" t="str">
        <f aca="false">IF(D246="","",D246*F246)</f>
        <v/>
      </c>
      <c r="H246" s="10"/>
      <c r="I246" s="10"/>
      <c r="J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1"/>
      <c r="G247" s="11" t="str">
        <f aca="false">IF(D247="","",D247*F247)</f>
        <v/>
      </c>
      <c r="H247" s="10"/>
      <c r="I247" s="10"/>
      <c r="J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1"/>
      <c r="G248" s="11" t="str">
        <f aca="false">IF(D248="","",D248*F248)</f>
        <v/>
      </c>
      <c r="H248" s="10"/>
      <c r="I248" s="10"/>
      <c r="J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1"/>
      <c r="G249" s="11" t="str">
        <f aca="false">IF(D249="","",D249*F249)</f>
        <v/>
      </c>
      <c r="H249" s="10"/>
      <c r="I249" s="10"/>
      <c r="J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1"/>
      <c r="G250" s="11" t="str">
        <f aca="false">IF(D250="","",D250*F250)</f>
        <v/>
      </c>
      <c r="H250" s="10"/>
      <c r="I250" s="10"/>
      <c r="J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1"/>
      <c r="G251" s="11" t="str">
        <f aca="false">IF(D251="","",D251*F251)</f>
        <v/>
      </c>
      <c r="H251" s="10"/>
      <c r="I251" s="10"/>
      <c r="J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1"/>
      <c r="G252" s="11" t="str">
        <f aca="false">IF(D252="","",D252*F252)</f>
        <v/>
      </c>
      <c r="H252" s="10"/>
      <c r="I252" s="10"/>
      <c r="J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1"/>
      <c r="G253" s="11" t="str">
        <f aca="false">IF(D253="","",D253*F253)</f>
        <v/>
      </c>
      <c r="H253" s="10"/>
      <c r="I253" s="10"/>
      <c r="J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1"/>
      <c r="G254" s="11" t="str">
        <f aca="false">IF(D254="","",D254*F254)</f>
        <v/>
      </c>
      <c r="H254" s="10"/>
      <c r="I254" s="10"/>
      <c r="J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1"/>
      <c r="G255" s="11" t="str">
        <f aca="false">IF(D255="","",D255*F255)</f>
        <v/>
      </c>
      <c r="H255" s="10"/>
      <c r="I255" s="10"/>
      <c r="J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1"/>
      <c r="G256" s="11" t="str">
        <f aca="false">IF(D256="","",D256*F256)</f>
        <v/>
      </c>
      <c r="H256" s="10"/>
      <c r="I256" s="10"/>
      <c r="J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1"/>
      <c r="G257" s="11" t="str">
        <f aca="false">IF(D257="","",D257*F257)</f>
        <v/>
      </c>
      <c r="H257" s="10"/>
      <c r="I257" s="10"/>
      <c r="J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1"/>
      <c r="G258" s="11" t="str">
        <f aca="false">IF(D258="","",D258*F258)</f>
        <v/>
      </c>
      <c r="H258" s="10"/>
      <c r="I258" s="10"/>
      <c r="J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1"/>
      <c r="G259" s="11" t="str">
        <f aca="false">IF(D259="","",D259*F259)</f>
        <v/>
      </c>
      <c r="H259" s="10"/>
      <c r="I259" s="10"/>
      <c r="J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1"/>
      <c r="G260" s="11" t="str">
        <f aca="false">IF(D260="","",D260*F260)</f>
        <v/>
      </c>
      <c r="H260" s="10"/>
      <c r="I260" s="10"/>
      <c r="J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1"/>
      <c r="G261" s="11" t="str">
        <f aca="false">IF(D261="","",D261*F261)</f>
        <v/>
      </c>
      <c r="H261" s="10"/>
      <c r="I261" s="10"/>
      <c r="J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1"/>
      <c r="G262" s="11" t="str">
        <f aca="false">IF(D262="","",D262*F262)</f>
        <v/>
      </c>
      <c r="H262" s="10"/>
      <c r="I262" s="10"/>
      <c r="J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1"/>
      <c r="G263" s="11" t="str">
        <f aca="false">IF(D263="","",D263*F263)</f>
        <v/>
      </c>
      <c r="H263" s="10"/>
      <c r="I263" s="10"/>
      <c r="J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1"/>
      <c r="G264" s="11" t="str">
        <f aca="false">IF(D264="","",D264*F264)</f>
        <v/>
      </c>
      <c r="H264" s="10"/>
      <c r="I264" s="10"/>
      <c r="J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1"/>
      <c r="G265" s="11" t="str">
        <f aca="false">IF(D265="","",D265*F265)</f>
        <v/>
      </c>
      <c r="H265" s="10"/>
      <c r="I265" s="10"/>
      <c r="J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1"/>
      <c r="G266" s="11" t="str">
        <f aca="false">IF(D266="","",D266*F266)</f>
        <v/>
      </c>
      <c r="H266" s="10"/>
      <c r="I266" s="10"/>
      <c r="J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1"/>
      <c r="G267" s="11" t="str">
        <f aca="false">IF(D267="","",D267*F267)</f>
        <v/>
      </c>
      <c r="H267" s="10"/>
      <c r="I267" s="10"/>
      <c r="J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1"/>
      <c r="G268" s="11" t="str">
        <f aca="false">IF(D268="","",D268*F268)</f>
        <v/>
      </c>
      <c r="H268" s="10"/>
      <c r="I268" s="10"/>
      <c r="J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1"/>
      <c r="G269" s="11" t="str">
        <f aca="false">IF(D269="","",D269*F269)</f>
        <v/>
      </c>
      <c r="H269" s="10"/>
      <c r="I269" s="10"/>
      <c r="J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1"/>
      <c r="G270" s="11" t="str">
        <f aca="false">IF(D270="","",D270*F270)</f>
        <v/>
      </c>
      <c r="H270" s="10"/>
      <c r="I270" s="10"/>
      <c r="J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1"/>
      <c r="G271" s="11" t="str">
        <f aca="false">IF(D271="","",D271*F271)</f>
        <v/>
      </c>
      <c r="H271" s="10"/>
      <c r="I271" s="10"/>
      <c r="J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1"/>
      <c r="G272" s="11" t="str">
        <f aca="false">IF(D272="","",D272*F272)</f>
        <v/>
      </c>
      <c r="H272" s="10"/>
      <c r="I272" s="10"/>
      <c r="J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1"/>
      <c r="G273" s="11" t="str">
        <f aca="false">IF(D273="","",D273*F273)</f>
        <v/>
      </c>
      <c r="H273" s="10"/>
      <c r="I273" s="10"/>
      <c r="J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1"/>
      <c r="G274" s="11" t="str">
        <f aca="false">IF(D274="","",D274*F274)</f>
        <v/>
      </c>
      <c r="H274" s="10"/>
      <c r="I274" s="10"/>
      <c r="J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1"/>
      <c r="G275" s="11" t="str">
        <f aca="false">IF(D275="","",D275*F275)</f>
        <v/>
      </c>
      <c r="H275" s="10"/>
      <c r="I275" s="10"/>
      <c r="J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1"/>
      <c r="G276" s="11" t="str">
        <f aca="false">IF(D276="","",D276*F276)</f>
        <v/>
      </c>
      <c r="H276" s="10"/>
      <c r="I276" s="10"/>
      <c r="J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1"/>
      <c r="G277" s="11" t="str">
        <f aca="false">IF(D277="","",D277*F277)</f>
        <v/>
      </c>
      <c r="H277" s="10"/>
      <c r="I277" s="10"/>
      <c r="J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1"/>
      <c r="G278" s="11" t="str">
        <f aca="false">IF(D278="","",D278*F278)</f>
        <v/>
      </c>
      <c r="H278" s="10"/>
      <c r="I278" s="10"/>
      <c r="J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1"/>
      <c r="G279" s="11" t="str">
        <f aca="false">IF(D279="","",D279*F279)</f>
        <v/>
      </c>
      <c r="H279" s="10"/>
      <c r="I279" s="10"/>
      <c r="J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1"/>
      <c r="G280" s="11" t="str">
        <f aca="false">IF(D280="","",D280*F280)</f>
        <v/>
      </c>
      <c r="H280" s="10"/>
      <c r="I280" s="10"/>
      <c r="J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1"/>
      <c r="G281" s="11" t="str">
        <f aca="false">IF(D281="","",D281*F281)</f>
        <v/>
      </c>
      <c r="H281" s="10"/>
      <c r="I281" s="10"/>
      <c r="J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1"/>
      <c r="G282" s="11" t="str">
        <f aca="false">IF(D282="","",D282*F282)</f>
        <v/>
      </c>
      <c r="H282" s="10"/>
      <c r="I282" s="10"/>
      <c r="J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1"/>
      <c r="G283" s="11" t="str">
        <f aca="false">IF(D283="","",D283*F283)</f>
        <v/>
      </c>
      <c r="H283" s="10"/>
      <c r="I283" s="10"/>
      <c r="J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1"/>
      <c r="G284" s="11" t="str">
        <f aca="false">IF(D284="","",D284*F284)</f>
        <v/>
      </c>
      <c r="H284" s="10"/>
      <c r="I284" s="10"/>
      <c r="J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1"/>
      <c r="G285" s="11" t="str">
        <f aca="false">IF(D285="","",D285*F285)</f>
        <v/>
      </c>
      <c r="H285" s="10"/>
      <c r="I285" s="10"/>
      <c r="J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1"/>
      <c r="G286" s="11" t="str">
        <f aca="false">IF(D286="","",D286*F286)</f>
        <v/>
      </c>
      <c r="H286" s="10"/>
      <c r="I286" s="10"/>
      <c r="J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1"/>
      <c r="G287" s="11" t="str">
        <f aca="false">IF(D287="","",D287*F287)</f>
        <v/>
      </c>
      <c r="H287" s="10"/>
      <c r="I287" s="10"/>
      <c r="J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1"/>
      <c r="G288" s="11" t="str">
        <f aca="false">IF(D288="","",D288*F288)</f>
        <v/>
      </c>
      <c r="H288" s="10"/>
      <c r="I288" s="10"/>
      <c r="J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1"/>
      <c r="G289" s="11" t="str">
        <f aca="false">IF(D289="","",D289*F289)</f>
        <v/>
      </c>
      <c r="H289" s="10"/>
      <c r="I289" s="10"/>
      <c r="J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1"/>
      <c r="G290" s="11" t="str">
        <f aca="false">IF(D290="","",D290*F290)</f>
        <v/>
      </c>
      <c r="H290" s="10"/>
      <c r="I290" s="10"/>
      <c r="J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1"/>
      <c r="G291" s="11" t="str">
        <f aca="false">IF(D291="","",D291*F291)</f>
        <v/>
      </c>
      <c r="H291" s="10"/>
      <c r="I291" s="10"/>
      <c r="J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1"/>
      <c r="G292" s="11" t="str">
        <f aca="false">IF(D292="","",D292*F292)</f>
        <v/>
      </c>
      <c r="H292" s="10"/>
      <c r="I292" s="10"/>
      <c r="J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1"/>
      <c r="G293" s="11" t="str">
        <f aca="false">IF(D293="","",D293*F293)</f>
        <v/>
      </c>
      <c r="H293" s="10"/>
      <c r="I293" s="10"/>
      <c r="J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1"/>
      <c r="G294" s="11" t="str">
        <f aca="false">IF(D294="","",D294*F294)</f>
        <v/>
      </c>
      <c r="H294" s="10"/>
      <c r="I294" s="10"/>
      <c r="J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1"/>
      <c r="G295" s="11" t="str">
        <f aca="false">IF(D295="","",D295*F295)</f>
        <v/>
      </c>
      <c r="H295" s="10"/>
      <c r="I295" s="10"/>
      <c r="J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1"/>
      <c r="G296" s="11" t="str">
        <f aca="false">IF(D296="","",D296*F296)</f>
        <v/>
      </c>
      <c r="H296" s="10"/>
      <c r="I296" s="10"/>
      <c r="J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1"/>
      <c r="G297" s="11" t="str">
        <f aca="false">IF(D297="","",D297*F297)</f>
        <v/>
      </c>
      <c r="H297" s="10"/>
      <c r="I297" s="10"/>
      <c r="J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1"/>
      <c r="G298" s="11" t="str">
        <f aca="false">IF(D298="","",D298*F298)</f>
        <v/>
      </c>
      <c r="H298" s="10"/>
      <c r="I298" s="10"/>
      <c r="J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1"/>
      <c r="G299" s="11" t="str">
        <f aca="false">IF(D299="","",D299*F299)</f>
        <v/>
      </c>
      <c r="H299" s="10"/>
      <c r="I299" s="10"/>
      <c r="J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1"/>
      <c r="G300" s="11" t="str">
        <f aca="false">IF(D300="","",D300*F300)</f>
        <v/>
      </c>
      <c r="H300" s="10"/>
      <c r="I300" s="10"/>
      <c r="J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1"/>
      <c r="G301" s="11" t="str">
        <f aca="false">IF(D301="","",D301*F301)</f>
        <v/>
      </c>
      <c r="H301" s="10"/>
      <c r="I301" s="10"/>
      <c r="J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1"/>
      <c r="G302" s="11" t="str">
        <f aca="false">IF(D302="","",D302*F302)</f>
        <v/>
      </c>
      <c r="H302" s="10"/>
      <c r="I302" s="10"/>
      <c r="J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1"/>
      <c r="G303" s="11" t="str">
        <f aca="false">IF(D303="","",D303*F303)</f>
        <v/>
      </c>
      <c r="H303" s="10"/>
      <c r="I303" s="10"/>
      <c r="J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1"/>
      <c r="G304" s="11" t="str">
        <f aca="false">IF(D304="","",D304*F304)</f>
        <v/>
      </c>
      <c r="H304" s="10"/>
      <c r="I304" s="10"/>
      <c r="J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1"/>
      <c r="G305" s="11" t="str">
        <f aca="false">IF(D305="","",D305*F305)</f>
        <v/>
      </c>
      <c r="H305" s="10"/>
      <c r="I305" s="10"/>
      <c r="J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1"/>
      <c r="G306" s="11" t="str">
        <f aca="false">IF(D306="","",D306*F306)</f>
        <v/>
      </c>
      <c r="H306" s="10"/>
      <c r="I306" s="10"/>
      <c r="J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1"/>
      <c r="G307" s="11" t="str">
        <f aca="false">IF(D307="","",D307*F307)</f>
        <v/>
      </c>
      <c r="H307" s="10"/>
      <c r="I307" s="10"/>
      <c r="J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1"/>
      <c r="G308" s="11" t="str">
        <f aca="false">IF(D308="","",D308*F308)</f>
        <v/>
      </c>
      <c r="H308" s="10"/>
      <c r="I308" s="10"/>
      <c r="J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1"/>
      <c r="G309" s="11" t="str">
        <f aca="false">IF(D309="","",D309*F309)</f>
        <v/>
      </c>
      <c r="H309" s="10"/>
      <c r="I309" s="10"/>
      <c r="J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1"/>
      <c r="G310" s="11" t="str">
        <f aca="false">IF(D310="","",D310*F310)</f>
        <v/>
      </c>
      <c r="H310" s="10"/>
      <c r="I310" s="10"/>
      <c r="J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1"/>
      <c r="G311" s="11" t="str">
        <f aca="false">IF(D311="","",D311*F311)</f>
        <v/>
      </c>
      <c r="H311" s="10"/>
      <c r="I311" s="10"/>
      <c r="J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1"/>
      <c r="G312" s="11" t="str">
        <f aca="false">IF(D312="","",D312*F312)</f>
        <v/>
      </c>
      <c r="H312" s="10"/>
      <c r="I312" s="10"/>
      <c r="J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1"/>
      <c r="G313" s="11" t="str">
        <f aca="false">IF(D313="","",D313*F313)</f>
        <v/>
      </c>
      <c r="H313" s="10"/>
      <c r="I313" s="10"/>
      <c r="J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1"/>
      <c r="G314" s="11" t="str">
        <f aca="false">IF(D314="","",D314*F314)</f>
        <v/>
      </c>
      <c r="H314" s="10"/>
      <c r="I314" s="10"/>
      <c r="J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1"/>
      <c r="G315" s="11" t="str">
        <f aca="false">IF(D315="","",D315*F315)</f>
        <v/>
      </c>
      <c r="H315" s="10"/>
      <c r="I315" s="10"/>
      <c r="J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1"/>
      <c r="G316" s="11" t="str">
        <f aca="false">IF(D316="","",D316*F316)</f>
        <v/>
      </c>
      <c r="H316" s="10"/>
      <c r="I316" s="10"/>
      <c r="J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1"/>
      <c r="G317" s="11" t="str">
        <f aca="false">IF(D317="","",D317*F317)</f>
        <v/>
      </c>
      <c r="H317" s="10"/>
      <c r="I317" s="10"/>
      <c r="J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1"/>
      <c r="G318" s="11" t="str">
        <f aca="false">IF(D318="","",D318*F318)</f>
        <v/>
      </c>
      <c r="H318" s="10"/>
      <c r="I318" s="10"/>
      <c r="J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1"/>
      <c r="G319" s="11" t="str">
        <f aca="false">IF(D319="","",D319*F319)</f>
        <v/>
      </c>
      <c r="H319" s="10"/>
      <c r="I319" s="10"/>
      <c r="J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1"/>
      <c r="G320" s="11" t="str">
        <f aca="false">IF(D320="","",D320*F320)</f>
        <v/>
      </c>
      <c r="H320" s="10"/>
      <c r="I320" s="10"/>
      <c r="J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1"/>
      <c r="G321" s="11" t="str">
        <f aca="false">IF(D321="","",D321*F321)</f>
        <v/>
      </c>
      <c r="H321" s="10"/>
      <c r="I321" s="10"/>
      <c r="J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1"/>
      <c r="G322" s="11" t="str">
        <f aca="false">IF(D322="","",D322*F322)</f>
        <v/>
      </c>
      <c r="H322" s="10"/>
      <c r="I322" s="10"/>
      <c r="J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1"/>
      <c r="G323" s="11" t="str">
        <f aca="false">IF(D323="","",D323*F323)</f>
        <v/>
      </c>
      <c r="H323" s="10"/>
      <c r="I323" s="10"/>
      <c r="J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1"/>
      <c r="G324" s="11" t="str">
        <f aca="false">IF(D324="","",D324*F324)</f>
        <v/>
      </c>
      <c r="H324" s="10"/>
      <c r="I324" s="10"/>
      <c r="J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1"/>
      <c r="G325" s="11" t="str">
        <f aca="false">IF(D325="","",D325*F325)</f>
        <v/>
      </c>
      <c r="H325" s="10"/>
      <c r="I325" s="10"/>
      <c r="J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1"/>
      <c r="G326" s="11" t="str">
        <f aca="false">IF(D326="","",D326*F326)</f>
        <v/>
      </c>
      <c r="H326" s="10"/>
      <c r="I326" s="10"/>
      <c r="J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1"/>
      <c r="G327" s="11" t="str">
        <f aca="false">IF(D327="","",D327*F327)</f>
        <v/>
      </c>
      <c r="H327" s="10"/>
      <c r="I327" s="10"/>
      <c r="J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1"/>
      <c r="G328" s="11" t="str">
        <f aca="false">IF(D328="","",D328*F328)</f>
        <v/>
      </c>
      <c r="H328" s="10"/>
      <c r="I328" s="10"/>
      <c r="J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1"/>
      <c r="G329" s="11" t="str">
        <f aca="false">IF(D329="","",D329*F329)</f>
        <v/>
      </c>
      <c r="H329" s="10"/>
      <c r="I329" s="10"/>
      <c r="J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1"/>
      <c r="G330" s="11" t="str">
        <f aca="false">IF(D330="","",D330*F330)</f>
        <v/>
      </c>
      <c r="H330" s="10"/>
      <c r="I330" s="10"/>
      <c r="J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1"/>
      <c r="G331" s="11" t="str">
        <f aca="false">IF(D331="","",D331*F331)</f>
        <v/>
      </c>
      <c r="H331" s="10"/>
      <c r="I331" s="10"/>
      <c r="J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1"/>
      <c r="G332" s="11" t="str">
        <f aca="false">IF(D332="","",D332*F332)</f>
        <v/>
      </c>
      <c r="H332" s="10"/>
      <c r="I332" s="10"/>
      <c r="J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1"/>
      <c r="G333" s="11" t="str">
        <f aca="false">IF(D333="","",D333*F333)</f>
        <v/>
      </c>
      <c r="H333" s="10"/>
      <c r="I333" s="10"/>
      <c r="J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1"/>
      <c r="G334" s="11" t="str">
        <f aca="false">IF(D334="","",D334*F334)</f>
        <v/>
      </c>
      <c r="H334" s="10"/>
      <c r="I334" s="10"/>
      <c r="J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1"/>
      <c r="G335" s="11" t="str">
        <f aca="false">IF(D335="","",D335*F335)</f>
        <v/>
      </c>
      <c r="H335" s="10"/>
      <c r="I335" s="10"/>
      <c r="J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1"/>
      <c r="G336" s="11" t="str">
        <f aca="false">IF(D336="","",D336*F336)</f>
        <v/>
      </c>
      <c r="H336" s="10"/>
      <c r="I336" s="10"/>
      <c r="J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1"/>
      <c r="G337" s="11" t="str">
        <f aca="false">IF(D337="","",D337*F337)</f>
        <v/>
      </c>
      <c r="H337" s="10"/>
      <c r="I337" s="10"/>
      <c r="J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1"/>
      <c r="G338" s="11" t="str">
        <f aca="false">IF(D338="","",D338*F338)</f>
        <v/>
      </c>
      <c r="H338" s="10"/>
      <c r="I338" s="10"/>
      <c r="J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1"/>
      <c r="G339" s="11" t="str">
        <f aca="false">IF(D339="","",D339*F339)</f>
        <v/>
      </c>
      <c r="H339" s="10"/>
      <c r="I339" s="10"/>
      <c r="J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1"/>
      <c r="G340" s="11" t="str">
        <f aca="false">IF(D340="","",D340*F340)</f>
        <v/>
      </c>
      <c r="H340" s="10"/>
      <c r="I340" s="10"/>
      <c r="J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1"/>
      <c r="G341" s="11" t="str">
        <f aca="false">IF(D341="","",D341*F341)</f>
        <v/>
      </c>
      <c r="H341" s="10"/>
      <c r="I341" s="10"/>
      <c r="J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1"/>
      <c r="G342" s="11" t="str">
        <f aca="false">IF(D342="","",D342*F342)</f>
        <v/>
      </c>
      <c r="H342" s="10"/>
      <c r="I342" s="10"/>
      <c r="J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1"/>
      <c r="G343" s="11" t="str">
        <f aca="false">IF(D343="","",D343*F343)</f>
        <v/>
      </c>
      <c r="H343" s="10"/>
      <c r="I343" s="10"/>
      <c r="J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1"/>
      <c r="G344" s="11" t="str">
        <f aca="false">IF(D344="","",D344*F344)</f>
        <v/>
      </c>
      <c r="H344" s="10"/>
      <c r="I344" s="10"/>
      <c r="J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1"/>
      <c r="G345" s="11" t="str">
        <f aca="false">IF(D345="","",D345*F345)</f>
        <v/>
      </c>
      <c r="H345" s="10"/>
      <c r="I345" s="10"/>
      <c r="J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1"/>
      <c r="G346" s="11" t="str">
        <f aca="false">IF(D346="","",D346*F346)</f>
        <v/>
      </c>
      <c r="H346" s="10"/>
      <c r="I346" s="10"/>
      <c r="J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1"/>
      <c r="G347" s="11" t="str">
        <f aca="false">IF(D347="","",D347*F347)</f>
        <v/>
      </c>
      <c r="H347" s="10"/>
      <c r="I347" s="10"/>
      <c r="J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1"/>
      <c r="G348" s="11" t="str">
        <f aca="false">IF(D348="","",D348*F348)</f>
        <v/>
      </c>
      <c r="H348" s="10"/>
      <c r="I348" s="10"/>
      <c r="J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1"/>
      <c r="G349" s="11" t="str">
        <f aca="false">IF(D349="","",D349*F349)</f>
        <v/>
      </c>
      <c r="H349" s="10"/>
      <c r="I349" s="10"/>
      <c r="J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1"/>
      <c r="G350" s="11" t="str">
        <f aca="false">IF(D350="","",D350*F350)</f>
        <v/>
      </c>
      <c r="H350" s="10"/>
      <c r="I350" s="10"/>
      <c r="J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1"/>
      <c r="G351" s="11" t="str">
        <f aca="false">IF(D351="","",D351*F351)</f>
        <v/>
      </c>
      <c r="H351" s="10"/>
      <c r="I351" s="10"/>
      <c r="J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1"/>
      <c r="G352" s="11" t="str">
        <f aca="false">IF(D352="","",D352*F352)</f>
        <v/>
      </c>
      <c r="H352" s="10"/>
      <c r="I352" s="10"/>
      <c r="J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1"/>
      <c r="G353" s="11" t="str">
        <f aca="false">IF(D353="","",D353*F353)</f>
        <v/>
      </c>
      <c r="H353" s="10"/>
      <c r="I353" s="10"/>
      <c r="J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1"/>
      <c r="G354" s="11" t="str">
        <f aca="false">IF(D354="","",D354*F354)</f>
        <v/>
      </c>
      <c r="H354" s="10"/>
      <c r="I354" s="10"/>
      <c r="J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1"/>
      <c r="G355" s="11" t="str">
        <f aca="false">IF(D355="","",D355*F355)</f>
        <v/>
      </c>
      <c r="H355" s="10"/>
      <c r="I355" s="10"/>
      <c r="J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1"/>
      <c r="G356" s="11" t="str">
        <f aca="false">IF(D356="","",D356*F356)</f>
        <v/>
      </c>
      <c r="H356" s="10"/>
      <c r="I356" s="10"/>
      <c r="J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1"/>
      <c r="G357" s="11" t="str">
        <f aca="false">IF(D357="","",D357*F357)</f>
        <v/>
      </c>
      <c r="H357" s="10"/>
      <c r="I357" s="10"/>
      <c r="J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1"/>
      <c r="G358" s="11" t="str">
        <f aca="false">IF(D358="","",D358*F358)</f>
        <v/>
      </c>
      <c r="H358" s="10"/>
      <c r="I358" s="10"/>
      <c r="J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1"/>
      <c r="G359" s="11" t="str">
        <f aca="false">IF(D359="","",D359*F359)</f>
        <v/>
      </c>
      <c r="H359" s="10"/>
      <c r="I359" s="10"/>
      <c r="J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1"/>
      <c r="G360" s="11" t="str">
        <f aca="false">IF(D360="","",D360*F360)</f>
        <v/>
      </c>
      <c r="H360" s="10"/>
      <c r="I360" s="10"/>
      <c r="J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1"/>
      <c r="G361" s="11" t="str">
        <f aca="false">IF(D361="","",D361*F361)</f>
        <v/>
      </c>
      <c r="H361" s="10"/>
      <c r="I361" s="10"/>
      <c r="J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1"/>
      <c r="G362" s="11" t="str">
        <f aca="false">IF(D362="","",D362*F362)</f>
        <v/>
      </c>
      <c r="H362" s="10"/>
      <c r="I362" s="10"/>
      <c r="J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1"/>
      <c r="G363" s="11" t="str">
        <f aca="false">IF(D363="","",D363*F363)</f>
        <v/>
      </c>
      <c r="H363" s="10"/>
      <c r="I363" s="10"/>
      <c r="J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1"/>
      <c r="G364" s="11" t="str">
        <f aca="false">IF(D364="","",D364*F364)</f>
        <v/>
      </c>
      <c r="H364" s="10"/>
      <c r="I364" s="10"/>
      <c r="J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1"/>
      <c r="G365" s="11" t="str">
        <f aca="false">IF(D365="","",D365*F365)</f>
        <v/>
      </c>
      <c r="H365" s="10"/>
      <c r="I365" s="10"/>
      <c r="J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1"/>
      <c r="G366" s="11" t="str">
        <f aca="false">IF(D366="","",D366*F366)</f>
        <v/>
      </c>
      <c r="H366" s="10"/>
      <c r="I366" s="10"/>
      <c r="J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1"/>
      <c r="G367" s="11" t="str">
        <f aca="false">IF(D367="","",D367*F367)</f>
        <v/>
      </c>
      <c r="H367" s="10"/>
      <c r="I367" s="10"/>
      <c r="J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1"/>
      <c r="G368" s="11" t="str">
        <f aca="false">IF(D368="","",D368*F368)</f>
        <v/>
      </c>
      <c r="H368" s="10"/>
      <c r="I368" s="10"/>
      <c r="J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1"/>
      <c r="G369" s="11" t="str">
        <f aca="false">IF(D369="","",D369*F369)</f>
        <v/>
      </c>
      <c r="H369" s="10"/>
      <c r="I369" s="10"/>
      <c r="J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1"/>
      <c r="G370" s="11" t="str">
        <f aca="false">IF(D370="","",D370*F370)</f>
        <v/>
      </c>
      <c r="H370" s="10"/>
      <c r="I370" s="10"/>
      <c r="J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1"/>
      <c r="G371" s="11" t="str">
        <f aca="false">IF(D371="","",D371*F371)</f>
        <v/>
      </c>
      <c r="H371" s="10"/>
      <c r="I371" s="10"/>
      <c r="J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1"/>
      <c r="G372" s="11" t="str">
        <f aca="false">IF(D372="","",D372*F372)</f>
        <v/>
      </c>
      <c r="H372" s="10"/>
      <c r="I372" s="10"/>
      <c r="J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1"/>
      <c r="G373" s="11" t="str">
        <f aca="false">IF(D373="","",D373*F373)</f>
        <v/>
      </c>
      <c r="H373" s="10"/>
      <c r="I373" s="10"/>
      <c r="J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1"/>
      <c r="G374" s="11" t="str">
        <f aca="false">IF(D374="","",D374*F374)</f>
        <v/>
      </c>
      <c r="H374" s="10"/>
      <c r="I374" s="10"/>
      <c r="J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1"/>
      <c r="G375" s="11" t="str">
        <f aca="false">IF(D375="","",D375*F375)</f>
        <v/>
      </c>
      <c r="H375" s="10"/>
      <c r="I375" s="10"/>
      <c r="J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1"/>
      <c r="G376" s="11" t="str">
        <f aca="false">IF(D376="","",D376*F376)</f>
        <v/>
      </c>
      <c r="H376" s="10"/>
      <c r="I376" s="10"/>
      <c r="J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1"/>
      <c r="G377" s="11" t="str">
        <f aca="false">IF(D377="","",D377*F377)</f>
        <v/>
      </c>
      <c r="H377" s="10"/>
      <c r="I377" s="10"/>
      <c r="J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1"/>
      <c r="G378" s="11" t="str">
        <f aca="false">IF(D378="","",D378*F378)</f>
        <v/>
      </c>
      <c r="H378" s="10"/>
      <c r="I378" s="10"/>
      <c r="J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1"/>
      <c r="G379" s="11" t="str">
        <f aca="false">IF(D379="","",D379*F379)</f>
        <v/>
      </c>
      <c r="H379" s="10"/>
      <c r="I379" s="10"/>
      <c r="J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1"/>
      <c r="G380" s="11" t="str">
        <f aca="false">IF(D380="","",D380*F380)</f>
        <v/>
      </c>
      <c r="H380" s="10"/>
      <c r="I380" s="10"/>
      <c r="J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1"/>
      <c r="G381" s="11" t="str">
        <f aca="false">IF(D381="","",D381*F381)</f>
        <v/>
      </c>
      <c r="H381" s="10"/>
      <c r="I381" s="10"/>
      <c r="J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1"/>
      <c r="G382" s="11" t="str">
        <f aca="false">IF(D382="","",D382*F382)</f>
        <v/>
      </c>
      <c r="H382" s="10"/>
      <c r="I382" s="10"/>
      <c r="J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1"/>
      <c r="G383" s="11" t="str">
        <f aca="false">IF(D383="","",D383*F383)</f>
        <v/>
      </c>
      <c r="H383" s="10"/>
      <c r="I383" s="10"/>
      <c r="J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1"/>
      <c r="G384" s="11" t="str">
        <f aca="false">IF(D384="","",D384*F384)</f>
        <v/>
      </c>
      <c r="H384" s="10"/>
      <c r="I384" s="10"/>
      <c r="J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1"/>
      <c r="G385" s="11" t="str">
        <f aca="false">IF(D385="","",D385*F385)</f>
        <v/>
      </c>
      <c r="H385" s="10"/>
      <c r="I385" s="10"/>
      <c r="J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1"/>
      <c r="G386" s="11" t="str">
        <f aca="false">IF(D386="","",D386*F386)</f>
        <v/>
      </c>
      <c r="H386" s="10"/>
      <c r="I386" s="10"/>
      <c r="J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1"/>
      <c r="G387" s="11" t="str">
        <f aca="false">IF(D387="","",D387*F387)</f>
        <v/>
      </c>
      <c r="H387" s="10"/>
      <c r="I387" s="10"/>
      <c r="J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1"/>
      <c r="G388" s="11" t="str">
        <f aca="false">IF(D388="","",D388*F388)</f>
        <v/>
      </c>
      <c r="H388" s="10"/>
      <c r="I388" s="10"/>
      <c r="J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1"/>
      <c r="G389" s="11" t="str">
        <f aca="false">IF(D389="","",D389*F389)</f>
        <v/>
      </c>
      <c r="H389" s="10"/>
      <c r="I389" s="10"/>
      <c r="J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1"/>
      <c r="G390" s="11" t="str">
        <f aca="false">IF(D390="","",D390*F390)</f>
        <v/>
      </c>
      <c r="H390" s="10"/>
      <c r="I390" s="10"/>
      <c r="J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1"/>
      <c r="G391" s="11" t="str">
        <f aca="false">IF(D391="","",D391*F391)</f>
        <v/>
      </c>
      <c r="H391" s="10"/>
      <c r="I391" s="10"/>
      <c r="J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1"/>
      <c r="G392" s="11" t="str">
        <f aca="false">IF(D392="","",D392*F392)</f>
        <v/>
      </c>
      <c r="H392" s="10"/>
      <c r="I392" s="10"/>
      <c r="J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1"/>
      <c r="G393" s="11" t="str">
        <f aca="false">IF(D393="","",D393*F393)</f>
        <v/>
      </c>
      <c r="H393" s="10"/>
      <c r="I393" s="10"/>
      <c r="J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1"/>
      <c r="G394" s="11" t="str">
        <f aca="false">IF(D394="","",D394*F394)</f>
        <v/>
      </c>
      <c r="H394" s="10"/>
      <c r="I394" s="10"/>
      <c r="J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1"/>
      <c r="G395" s="11" t="str">
        <f aca="false">IF(D395="","",D395*F395)</f>
        <v/>
      </c>
      <c r="H395" s="10"/>
      <c r="I395" s="10"/>
      <c r="J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1"/>
      <c r="G396" s="11" t="str">
        <f aca="false">IF(D396="","",D396*F396)</f>
        <v/>
      </c>
      <c r="H396" s="10"/>
      <c r="I396" s="10"/>
      <c r="J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1"/>
      <c r="G397" s="11" t="str">
        <f aca="false">IF(D397="","",D397*F397)</f>
        <v/>
      </c>
      <c r="H397" s="10"/>
      <c r="I397" s="10"/>
      <c r="J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1"/>
      <c r="G398" s="11" t="str">
        <f aca="false">IF(D398="","",D398*F398)</f>
        <v/>
      </c>
      <c r="H398" s="10"/>
      <c r="I398" s="10"/>
      <c r="J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1"/>
      <c r="G399" s="11" t="str">
        <f aca="false">IF(D399="","",D399*F399)</f>
        <v/>
      </c>
      <c r="H399" s="10"/>
      <c r="I399" s="10"/>
      <c r="J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1"/>
      <c r="G400" s="11" t="str">
        <f aca="false">IF(D400="","",D400*F400)</f>
        <v/>
      </c>
      <c r="H400" s="10"/>
      <c r="I400" s="10"/>
      <c r="J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1"/>
      <c r="G401" s="11" t="str">
        <f aca="false">IF(D401="","",D401*F401)</f>
        <v/>
      </c>
      <c r="H401" s="10"/>
      <c r="I401" s="10"/>
      <c r="J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1"/>
      <c r="G402" s="11" t="str">
        <f aca="false">IF(D402="","",D402*F402)</f>
        <v/>
      </c>
      <c r="H402" s="10"/>
      <c r="I402" s="10"/>
      <c r="J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1"/>
      <c r="G403" s="11" t="str">
        <f aca="false">IF(D403="","",D403*F403)</f>
        <v/>
      </c>
      <c r="H403" s="10"/>
      <c r="I403" s="10"/>
      <c r="J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1"/>
      <c r="G404" s="11" t="str">
        <f aca="false">IF(D404="","",D404*F404)</f>
        <v/>
      </c>
      <c r="H404" s="10"/>
      <c r="I404" s="10"/>
      <c r="J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1"/>
      <c r="G405" s="11" t="str">
        <f aca="false">IF(D405="","",D405*F405)</f>
        <v/>
      </c>
      <c r="H405" s="10"/>
      <c r="I405" s="10"/>
      <c r="J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1"/>
      <c r="G406" s="11" t="str">
        <f aca="false">IF(D406="","",D406*F406)</f>
        <v/>
      </c>
      <c r="H406" s="10"/>
      <c r="I406" s="10"/>
      <c r="J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1"/>
      <c r="G407" s="11" t="str">
        <f aca="false">IF(D407="","",D407*F407)</f>
        <v/>
      </c>
      <c r="H407" s="10"/>
      <c r="I407" s="10"/>
      <c r="J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1"/>
      <c r="G408" s="11" t="str">
        <f aca="false">IF(D408="","",D408*F408)</f>
        <v/>
      </c>
      <c r="H408" s="10"/>
      <c r="I408" s="10"/>
      <c r="J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1"/>
      <c r="G409" s="11" t="str">
        <f aca="false">IF(D409="","",D409*F409)</f>
        <v/>
      </c>
      <c r="H409" s="10"/>
      <c r="I409" s="10"/>
      <c r="J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1"/>
      <c r="G410" s="11" t="str">
        <f aca="false">IF(D410="","",D410*F410)</f>
        <v/>
      </c>
      <c r="H410" s="10"/>
      <c r="I410" s="10"/>
      <c r="J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1"/>
      <c r="G411" s="11" t="str">
        <f aca="false">IF(D411="","",D411*F411)</f>
        <v/>
      </c>
      <c r="H411" s="10"/>
      <c r="I411" s="10"/>
      <c r="J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1"/>
      <c r="G412" s="11" t="str">
        <f aca="false">IF(D412="","",D412*F412)</f>
        <v/>
      </c>
      <c r="H412" s="10"/>
      <c r="I412" s="10"/>
      <c r="J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1"/>
      <c r="G413" s="11" t="str">
        <f aca="false">IF(D413="","",D413*F413)</f>
        <v/>
      </c>
      <c r="H413" s="10"/>
      <c r="I413" s="10"/>
      <c r="J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1"/>
      <c r="G414" s="11" t="str">
        <f aca="false">IF(D414="","",D414*F414)</f>
        <v/>
      </c>
      <c r="H414" s="10"/>
      <c r="I414" s="10"/>
      <c r="J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1"/>
      <c r="G415" s="11" t="str">
        <f aca="false">IF(D415="","",D415*F415)</f>
        <v/>
      </c>
      <c r="H415" s="10"/>
      <c r="I415" s="10"/>
      <c r="J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1"/>
      <c r="G416" s="11" t="str">
        <f aca="false">IF(D416="","",D416*F416)</f>
        <v/>
      </c>
      <c r="H416" s="10"/>
      <c r="I416" s="10"/>
      <c r="J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1"/>
      <c r="G417" s="11" t="str">
        <f aca="false">IF(D417="","",D417*F417)</f>
        <v/>
      </c>
      <c r="H417" s="10"/>
      <c r="I417" s="10"/>
      <c r="J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1"/>
      <c r="G418" s="11" t="str">
        <f aca="false">IF(D418="","",D418*F418)</f>
        <v/>
      </c>
      <c r="H418" s="10"/>
      <c r="I418" s="10"/>
      <c r="J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1"/>
      <c r="G419" s="11" t="str">
        <f aca="false">IF(D419="","",D419*F419)</f>
        <v/>
      </c>
      <c r="H419" s="10"/>
      <c r="I419" s="10"/>
      <c r="J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1"/>
      <c r="G420" s="11" t="str">
        <f aca="false">IF(D420="","",D420*F420)</f>
        <v/>
      </c>
      <c r="H420" s="10"/>
      <c r="I420" s="10"/>
      <c r="J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1"/>
      <c r="G421" s="11" t="str">
        <f aca="false">IF(D421="","",D421*F421)</f>
        <v/>
      </c>
      <c r="H421" s="10"/>
      <c r="I421" s="10"/>
      <c r="J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1"/>
      <c r="G422" s="11" t="str">
        <f aca="false">IF(D422="","",D422*F422)</f>
        <v/>
      </c>
      <c r="H422" s="10"/>
      <c r="I422" s="10"/>
      <c r="J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1"/>
      <c r="G423" s="11" t="str">
        <f aca="false">IF(D423="","",D423*F423)</f>
        <v/>
      </c>
      <c r="H423" s="10"/>
      <c r="I423" s="10"/>
      <c r="J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1"/>
      <c r="G424" s="11" t="str">
        <f aca="false">IF(D424="","",D424*F424)</f>
        <v/>
      </c>
      <c r="H424" s="10"/>
      <c r="I424" s="10"/>
      <c r="J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1"/>
      <c r="G425" s="11" t="str">
        <f aca="false">IF(D425="","",D425*F425)</f>
        <v/>
      </c>
      <c r="H425" s="10"/>
      <c r="I425" s="10"/>
      <c r="J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1"/>
      <c r="G426" s="11" t="str">
        <f aca="false">IF(D426="","",D426*F426)</f>
        <v/>
      </c>
      <c r="H426" s="10"/>
      <c r="I426" s="10"/>
      <c r="J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1"/>
      <c r="G427" s="11" t="str">
        <f aca="false">IF(D427="","",D427*F427)</f>
        <v/>
      </c>
      <c r="H427" s="10"/>
      <c r="I427" s="10"/>
      <c r="J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1"/>
      <c r="G428" s="11" t="str">
        <f aca="false">IF(D428="","",D428*F428)</f>
        <v/>
      </c>
      <c r="H428" s="10"/>
      <c r="I428" s="10"/>
      <c r="J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1"/>
      <c r="G429" s="11" t="str">
        <f aca="false">IF(D429="","",D429*F429)</f>
        <v/>
      </c>
      <c r="H429" s="10"/>
      <c r="I429" s="10"/>
      <c r="J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1"/>
      <c r="G430" s="11" t="str">
        <f aca="false">IF(D430="","",D430*F430)</f>
        <v/>
      </c>
      <c r="H430" s="10"/>
      <c r="I430" s="10"/>
      <c r="J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1"/>
      <c r="G431" s="11" t="str">
        <f aca="false">IF(D431="","",D431*F431)</f>
        <v/>
      </c>
      <c r="H431" s="10"/>
      <c r="I431" s="10"/>
      <c r="J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1"/>
      <c r="G432" s="11" t="str">
        <f aca="false">IF(D432="","",D432*F432)</f>
        <v/>
      </c>
      <c r="H432" s="10"/>
      <c r="I432" s="10"/>
      <c r="J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1"/>
      <c r="G433" s="11" t="str">
        <f aca="false">IF(D433="","",D433*F433)</f>
        <v/>
      </c>
      <c r="H433" s="10"/>
      <c r="I433" s="10"/>
      <c r="J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1"/>
      <c r="G434" s="11" t="str">
        <f aca="false">IF(D434="","",D434*F434)</f>
        <v/>
      </c>
      <c r="H434" s="10"/>
      <c r="I434" s="10"/>
      <c r="J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1"/>
      <c r="G435" s="11" t="str">
        <f aca="false">IF(D435="","",D435*F435)</f>
        <v/>
      </c>
      <c r="H435" s="10"/>
      <c r="I435" s="10"/>
      <c r="J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1"/>
      <c r="G436" s="11" t="str">
        <f aca="false">IF(D436="","",D436*F436)</f>
        <v/>
      </c>
      <c r="H436" s="10"/>
      <c r="I436" s="10"/>
      <c r="J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1"/>
      <c r="G437" s="11" t="str">
        <f aca="false">IF(D437="","",D437*F437)</f>
        <v/>
      </c>
      <c r="H437" s="10"/>
      <c r="I437" s="10"/>
      <c r="J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1"/>
      <c r="G438" s="11" t="str">
        <f aca="false">IF(D438="","",D438*F438)</f>
        <v/>
      </c>
      <c r="H438" s="10"/>
      <c r="I438" s="10"/>
      <c r="J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1"/>
      <c r="G439" s="11" t="str">
        <f aca="false">IF(D439="","",D439*F439)</f>
        <v/>
      </c>
      <c r="H439" s="10"/>
      <c r="I439" s="10"/>
      <c r="J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1"/>
      <c r="G440" s="11" t="str">
        <f aca="false">IF(D440="","",D440*F440)</f>
        <v/>
      </c>
      <c r="H440" s="10"/>
      <c r="I440" s="10"/>
      <c r="J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1"/>
      <c r="G441" s="11" t="str">
        <f aca="false">IF(D441="","",D441*F441)</f>
        <v/>
      </c>
      <c r="H441" s="10"/>
      <c r="I441" s="10"/>
      <c r="J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1"/>
      <c r="G442" s="11" t="str">
        <f aca="false">IF(D442="","",D442*F442)</f>
        <v/>
      </c>
      <c r="H442" s="10"/>
      <c r="I442" s="10"/>
      <c r="J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1"/>
      <c r="G443" s="11" t="str">
        <f aca="false">IF(D443="","",D443*F443)</f>
        <v/>
      </c>
      <c r="H443" s="10"/>
      <c r="I443" s="10"/>
      <c r="J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1"/>
      <c r="G444" s="11" t="str">
        <f aca="false">IF(D444="","",D444*F444)</f>
        <v/>
      </c>
      <c r="H444" s="10"/>
      <c r="I444" s="10"/>
      <c r="J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1"/>
      <c r="G445" s="11" t="str">
        <f aca="false">IF(D445="","",D445*F445)</f>
        <v/>
      </c>
      <c r="H445" s="10"/>
      <c r="I445" s="10"/>
      <c r="J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1"/>
      <c r="G446" s="11" t="str">
        <f aca="false">IF(D446="","",D446*F446)</f>
        <v/>
      </c>
      <c r="H446" s="10"/>
      <c r="I446" s="10"/>
      <c r="J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1"/>
      <c r="G447" s="11" t="str">
        <f aca="false">IF(D447="","",D447*F447)</f>
        <v/>
      </c>
      <c r="H447" s="10"/>
      <c r="I447" s="10"/>
      <c r="J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1"/>
      <c r="G448" s="11" t="str">
        <f aca="false">IF(D448="","",D448*F448)</f>
        <v/>
      </c>
      <c r="H448" s="10"/>
      <c r="I448" s="10"/>
      <c r="J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1"/>
      <c r="G449" s="11" t="str">
        <f aca="false">IF(D449="","",D449*F449)</f>
        <v/>
      </c>
      <c r="H449" s="10"/>
      <c r="I449" s="10"/>
      <c r="J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1"/>
      <c r="G450" s="11" t="str">
        <f aca="false">IF(D450="","",D450*F450)</f>
        <v/>
      </c>
      <c r="H450" s="10"/>
      <c r="I450" s="10"/>
      <c r="J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1"/>
      <c r="G451" s="11" t="str">
        <f aca="false">IF(D451="","",D451*F451)</f>
        <v/>
      </c>
      <c r="H451" s="10"/>
      <c r="I451" s="10"/>
      <c r="J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1"/>
      <c r="G452" s="11" t="str">
        <f aca="false">IF(D452="","",D452*F452)</f>
        <v/>
      </c>
      <c r="H452" s="10"/>
      <c r="I452" s="10"/>
      <c r="J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1"/>
      <c r="G453" s="11" t="str">
        <f aca="false">IF(D453="","",D453*F453)</f>
        <v/>
      </c>
      <c r="H453" s="10"/>
      <c r="I453" s="10"/>
      <c r="J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1"/>
      <c r="G454" s="11" t="str">
        <f aca="false">IF(D454="","",D454*F454)</f>
        <v/>
      </c>
      <c r="H454" s="10"/>
      <c r="I454" s="10"/>
      <c r="J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1"/>
      <c r="G455" s="11" t="str">
        <f aca="false">IF(D455="","",D455*F455)</f>
        <v/>
      </c>
      <c r="H455" s="10"/>
      <c r="I455" s="10"/>
      <c r="J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1"/>
      <c r="G456" s="11" t="str">
        <f aca="false">IF(D456="","",D456*F456)</f>
        <v/>
      </c>
      <c r="H456" s="10"/>
      <c r="I456" s="10"/>
      <c r="J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1"/>
      <c r="G457" s="11" t="str">
        <f aca="false">IF(D457="","",D457*F457)</f>
        <v/>
      </c>
      <c r="H457" s="10"/>
      <c r="I457" s="10"/>
      <c r="J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1"/>
      <c r="G458" s="11" t="str">
        <f aca="false">IF(D458="","",D458*F458)</f>
        <v/>
      </c>
      <c r="H458" s="10"/>
      <c r="I458" s="10"/>
      <c r="J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1"/>
      <c r="G459" s="11" t="str">
        <f aca="false">IF(D459="","",D459*F459)</f>
        <v/>
      </c>
      <c r="H459" s="10"/>
      <c r="I459" s="10"/>
      <c r="J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1"/>
      <c r="G460" s="11" t="str">
        <f aca="false">IF(D460="","",D460*F460)</f>
        <v/>
      </c>
      <c r="H460" s="10"/>
      <c r="I460" s="10"/>
      <c r="J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1"/>
      <c r="G461" s="11" t="str">
        <f aca="false">IF(D461="","",D461*F461)</f>
        <v/>
      </c>
      <c r="H461" s="10"/>
      <c r="I461" s="10"/>
      <c r="J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1"/>
      <c r="G462" s="11" t="str">
        <f aca="false">IF(D462="","",D462*F462)</f>
        <v/>
      </c>
      <c r="H462" s="10"/>
      <c r="I462" s="10"/>
      <c r="J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1"/>
      <c r="G463" s="11" t="str">
        <f aca="false">IF(D463="","",D463*F463)</f>
        <v/>
      </c>
      <c r="H463" s="10"/>
      <c r="I463" s="10"/>
      <c r="J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1"/>
      <c r="G464" s="11" t="str">
        <f aca="false">IF(D464="","",D464*F464)</f>
        <v/>
      </c>
      <c r="H464" s="10"/>
      <c r="I464" s="10"/>
      <c r="J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1"/>
      <c r="G465" s="11" t="str">
        <f aca="false">IF(D465="","",D465*F465)</f>
        <v/>
      </c>
      <c r="H465" s="10"/>
      <c r="I465" s="10"/>
      <c r="J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1"/>
      <c r="G466" s="11" t="str">
        <f aca="false">IF(D466="","",D466*F466)</f>
        <v/>
      </c>
      <c r="H466" s="10"/>
      <c r="I466" s="10"/>
      <c r="J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1"/>
      <c r="G467" s="11" t="str">
        <f aca="false">IF(D467="","",D467*F467)</f>
        <v/>
      </c>
      <c r="H467" s="10"/>
      <c r="I467" s="10"/>
      <c r="J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1"/>
      <c r="G468" s="11" t="str">
        <f aca="false">IF(D468="","",D468*F468)</f>
        <v/>
      </c>
      <c r="H468" s="10"/>
      <c r="I468" s="10"/>
      <c r="J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1"/>
      <c r="G469" s="11" t="str">
        <f aca="false">IF(D469="","",D469*F469)</f>
        <v/>
      </c>
      <c r="H469" s="10"/>
      <c r="I469" s="10"/>
      <c r="J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1"/>
      <c r="G470" s="11" t="str">
        <f aca="false">IF(D470="","",D470*F470)</f>
        <v/>
      </c>
      <c r="H470" s="10"/>
      <c r="I470" s="10"/>
      <c r="J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1"/>
      <c r="G471" s="11" t="str">
        <f aca="false">IF(D471="","",D471*F471)</f>
        <v/>
      </c>
      <c r="H471" s="10"/>
      <c r="I471" s="10"/>
      <c r="J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1"/>
      <c r="G472" s="11" t="str">
        <f aca="false">IF(D472="","",D472*F472)</f>
        <v/>
      </c>
      <c r="H472" s="10"/>
      <c r="I472" s="10"/>
      <c r="J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1"/>
      <c r="G473" s="11" t="str">
        <f aca="false">IF(D473="","",D473*F473)</f>
        <v/>
      </c>
      <c r="H473" s="10"/>
      <c r="I473" s="10"/>
      <c r="J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1"/>
      <c r="G474" s="11" t="str">
        <f aca="false">IF(D474="","",D474*F474)</f>
        <v/>
      </c>
      <c r="H474" s="10"/>
      <c r="I474" s="10"/>
      <c r="J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1"/>
      <c r="G475" s="11" t="str">
        <f aca="false">IF(D475="","",D475*F475)</f>
        <v/>
      </c>
      <c r="H475" s="10"/>
      <c r="I475" s="10"/>
      <c r="J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1"/>
      <c r="G476" s="11" t="str">
        <f aca="false">IF(D476="","",D476*F476)</f>
        <v/>
      </c>
      <c r="H476" s="10"/>
      <c r="I476" s="10"/>
      <c r="J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1"/>
      <c r="G477" s="11" t="str">
        <f aca="false">IF(D477="","",D477*F477)</f>
        <v/>
      </c>
      <c r="H477" s="10"/>
      <c r="I477" s="10"/>
      <c r="J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1"/>
      <c r="G478" s="11" t="str">
        <f aca="false">IF(D478="","",D478*F478)</f>
        <v/>
      </c>
      <c r="H478" s="10"/>
      <c r="I478" s="10"/>
      <c r="J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1"/>
      <c r="G479" s="11" t="str">
        <f aca="false">IF(D479="","",D479*F479)</f>
        <v/>
      </c>
      <c r="H479" s="10"/>
      <c r="I479" s="10"/>
      <c r="J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1"/>
      <c r="G480" s="11" t="str">
        <f aca="false">IF(D480="","",D480*F480)</f>
        <v/>
      </c>
      <c r="H480" s="10"/>
      <c r="I480" s="10"/>
      <c r="J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1"/>
      <c r="G481" s="11" t="str">
        <f aca="false">IF(D481="","",D481*F481)</f>
        <v/>
      </c>
      <c r="H481" s="10"/>
      <c r="I481" s="10"/>
      <c r="J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1"/>
      <c r="G482" s="11" t="str">
        <f aca="false">IF(D482="","",D482*F482)</f>
        <v/>
      </c>
      <c r="H482" s="10"/>
      <c r="I482" s="10"/>
      <c r="J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1"/>
      <c r="G483" s="11" t="str">
        <f aca="false">IF(D483="","",D483*F483)</f>
        <v/>
      </c>
      <c r="H483" s="10"/>
      <c r="I483" s="10"/>
      <c r="J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1"/>
      <c r="G484" s="11" t="str">
        <f aca="false">IF(D484="","",D484*F484)</f>
        <v/>
      </c>
      <c r="H484" s="10"/>
      <c r="I484" s="10"/>
      <c r="J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1"/>
      <c r="G485" s="11" t="str">
        <f aca="false">IF(D485="","",D485*F485)</f>
        <v/>
      </c>
      <c r="H485" s="10"/>
      <c r="I485" s="10"/>
      <c r="J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1"/>
      <c r="G486" s="11" t="str">
        <f aca="false">IF(D486="","",D486*F486)</f>
        <v/>
      </c>
      <c r="H486" s="10"/>
      <c r="I486" s="10"/>
      <c r="J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1"/>
      <c r="G487" s="11" t="str">
        <f aca="false">IF(D487="","",D487*F487)</f>
        <v/>
      </c>
      <c r="H487" s="10"/>
      <c r="I487" s="10"/>
      <c r="J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1"/>
      <c r="G488" s="11" t="str">
        <f aca="false">IF(D488="","",D488*F488)</f>
        <v/>
      </c>
      <c r="H488" s="10"/>
      <c r="I488" s="10"/>
      <c r="J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1"/>
      <c r="G489" s="11" t="str">
        <f aca="false">IF(D489="","",D489*F489)</f>
        <v/>
      </c>
      <c r="H489" s="10"/>
      <c r="I489" s="10"/>
      <c r="J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1"/>
      <c r="G490" s="11" t="str">
        <f aca="false">IF(D490="","",D490*F490)</f>
        <v/>
      </c>
      <c r="H490" s="10"/>
      <c r="I490" s="10"/>
      <c r="J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1"/>
      <c r="G491" s="11" t="str">
        <f aca="false">IF(D491="","",D491*F491)</f>
        <v/>
      </c>
      <c r="H491" s="10"/>
      <c r="I491" s="10"/>
      <c r="J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1"/>
      <c r="G492" s="11" t="str">
        <f aca="false">IF(D492="","",D492*F492)</f>
        <v/>
      </c>
      <c r="H492" s="10"/>
      <c r="I492" s="10"/>
      <c r="J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1"/>
      <c r="G493" s="11" t="str">
        <f aca="false">IF(D493="","",D493*F493)</f>
        <v/>
      </c>
      <c r="H493" s="10"/>
      <c r="I493" s="10"/>
      <c r="J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1"/>
      <c r="G494" s="11" t="str">
        <f aca="false">IF(D494="","",D494*F494)</f>
        <v/>
      </c>
      <c r="H494" s="10"/>
      <c r="I494" s="10"/>
      <c r="J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1"/>
      <c r="G495" s="11" t="str">
        <f aca="false">IF(D495="","",D495*F495)</f>
        <v/>
      </c>
      <c r="H495" s="10"/>
      <c r="I495" s="10"/>
      <c r="J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1"/>
      <c r="G496" s="11" t="str">
        <f aca="false">IF(D496="","",D496*F496)</f>
        <v/>
      </c>
      <c r="H496" s="10"/>
      <c r="I496" s="10"/>
      <c r="J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1"/>
      <c r="G497" s="11" t="str">
        <f aca="false">IF(D497="","",D497*F497)</f>
        <v/>
      </c>
      <c r="H497" s="10"/>
      <c r="I497" s="10"/>
      <c r="J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1"/>
      <c r="G498" s="11" t="str">
        <f aca="false">IF(D498="","",D498*F498)</f>
        <v/>
      </c>
      <c r="H498" s="10"/>
      <c r="I498" s="10"/>
      <c r="J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1"/>
      <c r="G499" s="11" t="str">
        <f aca="false">IF(D499="","",D499*F499)</f>
        <v/>
      </c>
      <c r="H499" s="10"/>
      <c r="I499" s="10"/>
      <c r="J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1"/>
      <c r="G500" s="11" t="str">
        <f aca="false">IF(D500="","",D500*F500)</f>
        <v/>
      </c>
      <c r="H500" s="10"/>
      <c r="I500" s="10"/>
      <c r="J500" s="10"/>
    </row>
  </sheetData>
  <dataValidations count="1">
    <dataValidation allowBlank="true" errorStyle="stop" operator="between" showDropDown="false" showErrorMessage="false" showInputMessage="false" sqref="I2:I500" type="list">
      <formula1>"有,无"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6" t="s">
        <v>97</v>
      </c>
      <c r="B1" s="6" t="s">
        <v>112</v>
      </c>
      <c r="C1" s="6" t="s">
        <v>99</v>
      </c>
      <c r="D1" s="6" t="s">
        <v>113</v>
      </c>
      <c r="E1" s="6" t="s">
        <v>63</v>
      </c>
      <c r="F1" s="6" t="s">
        <v>114</v>
      </c>
      <c r="G1" s="6" t="s">
        <v>115</v>
      </c>
      <c r="H1" s="6" t="s">
        <v>116</v>
      </c>
      <c r="I1" s="6" t="s">
        <v>31</v>
      </c>
    </row>
    <row r="2" customFormat="false" ht="15" hidden="false" customHeight="false" outlineLevel="0" collapsed="false">
      <c r="A2" s="7" t="s">
        <v>105</v>
      </c>
      <c r="B2" s="7" t="s">
        <v>117</v>
      </c>
      <c r="C2" s="8" t="s">
        <v>67</v>
      </c>
      <c r="D2" s="9" t="n">
        <v>145</v>
      </c>
      <c r="E2" s="8" t="s">
        <v>75</v>
      </c>
      <c r="F2" s="8" t="s">
        <v>118</v>
      </c>
      <c r="G2" s="8" t="s">
        <v>118</v>
      </c>
      <c r="H2" s="8" t="s">
        <v>119</v>
      </c>
      <c r="I2" s="8" t="s">
        <v>37</v>
      </c>
    </row>
    <row r="3" customFormat="false" ht="15" hidden="false" customHeight="false" outlineLevel="0" collapsed="false">
      <c r="A3" s="7" t="s">
        <v>105</v>
      </c>
      <c r="B3" s="7" t="s">
        <v>120</v>
      </c>
      <c r="C3" s="8" t="s">
        <v>78</v>
      </c>
      <c r="D3" s="9" t="n">
        <v>390</v>
      </c>
      <c r="E3" s="8" t="s">
        <v>85</v>
      </c>
      <c r="F3" s="8" t="s">
        <v>118</v>
      </c>
      <c r="G3" s="8" t="s">
        <v>118</v>
      </c>
      <c r="H3" s="8" t="s">
        <v>80</v>
      </c>
      <c r="I3" s="8" t="s">
        <v>37</v>
      </c>
    </row>
    <row r="4" customFormat="false" ht="15" hidden="false" customHeight="false" outlineLevel="0" collapsed="false">
      <c r="A4" s="10"/>
      <c r="B4" s="10"/>
      <c r="C4" s="10"/>
      <c r="D4" s="11"/>
      <c r="E4" s="10"/>
      <c r="F4" s="10"/>
      <c r="G4" s="10"/>
      <c r="H4" s="10"/>
      <c r="I4" s="10"/>
    </row>
    <row r="5" customFormat="false" ht="15" hidden="false" customHeight="false" outlineLevel="0" collapsed="false">
      <c r="A5" s="10"/>
      <c r="B5" s="10"/>
      <c r="C5" s="10"/>
      <c r="D5" s="11"/>
      <c r="E5" s="10"/>
      <c r="F5" s="10"/>
      <c r="G5" s="10"/>
      <c r="H5" s="10"/>
      <c r="I5" s="10"/>
    </row>
    <row r="6" customFormat="false" ht="15" hidden="false" customHeight="false" outlineLevel="0" collapsed="false">
      <c r="A6" s="10"/>
      <c r="B6" s="10"/>
      <c r="C6" s="10"/>
      <c r="D6" s="11"/>
      <c r="E6" s="10"/>
      <c r="F6" s="10"/>
      <c r="G6" s="10"/>
      <c r="H6" s="10"/>
      <c r="I6" s="10"/>
    </row>
    <row r="7" customFormat="false" ht="15" hidden="false" customHeight="false" outlineLevel="0" collapsed="false">
      <c r="A7" s="10"/>
      <c r="B7" s="10"/>
      <c r="C7" s="10"/>
      <c r="D7" s="11"/>
      <c r="E7" s="10"/>
      <c r="F7" s="10"/>
      <c r="G7" s="10"/>
      <c r="H7" s="10"/>
      <c r="I7" s="10"/>
    </row>
    <row r="8" customFormat="false" ht="15" hidden="false" customHeight="false" outlineLevel="0" collapsed="false">
      <c r="A8" s="10"/>
      <c r="B8" s="10"/>
      <c r="C8" s="10"/>
      <c r="D8" s="11"/>
      <c r="E8" s="10"/>
      <c r="F8" s="10"/>
      <c r="G8" s="10"/>
      <c r="H8" s="10"/>
      <c r="I8" s="10"/>
    </row>
    <row r="9" customFormat="false" ht="15" hidden="false" customHeight="false" outlineLevel="0" collapsed="false">
      <c r="A9" s="10"/>
      <c r="B9" s="10"/>
      <c r="C9" s="10"/>
      <c r="D9" s="11"/>
      <c r="E9" s="10"/>
      <c r="F9" s="10"/>
      <c r="G9" s="10"/>
      <c r="H9" s="10"/>
      <c r="I9" s="10"/>
    </row>
    <row r="10" customFormat="false" ht="15" hidden="false" customHeight="false" outlineLevel="0" collapsed="false">
      <c r="A10" s="10"/>
      <c r="B10" s="10"/>
      <c r="C10" s="10"/>
      <c r="D10" s="11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10"/>
      <c r="B11" s="10"/>
      <c r="C11" s="10"/>
      <c r="D11" s="11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1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1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1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1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1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1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1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1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1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1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1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1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1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1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1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1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1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1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1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1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1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1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1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1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1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1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1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1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1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1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1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1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1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1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1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1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1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1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1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1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1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1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1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1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1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1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1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1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1"/>
      <c r="E60" s="10"/>
      <c r="F60" s="10"/>
      <c r="G60" s="10"/>
      <c r="H60" s="10"/>
      <c r="I60" s="10"/>
    </row>
    <row r="61" customFormat="false" ht="15" hidden="false" customHeight="false" outlineLevel="0" collapsed="false">
      <c r="A61" s="10"/>
      <c r="B61" s="10"/>
      <c r="C61" s="10"/>
      <c r="D61" s="11"/>
      <c r="E61" s="10"/>
      <c r="F61" s="10"/>
      <c r="G61" s="10"/>
      <c r="H61" s="10"/>
      <c r="I61" s="10"/>
    </row>
    <row r="62" customFormat="false" ht="15" hidden="false" customHeight="false" outlineLevel="0" collapsed="false">
      <c r="A62" s="10"/>
      <c r="B62" s="10"/>
      <c r="C62" s="10"/>
      <c r="D62" s="11"/>
      <c r="E62" s="10"/>
      <c r="F62" s="10"/>
      <c r="G62" s="10"/>
      <c r="H62" s="10"/>
      <c r="I62" s="10"/>
    </row>
    <row r="63" customFormat="false" ht="15" hidden="false" customHeight="false" outlineLevel="0" collapsed="false">
      <c r="A63" s="10"/>
      <c r="B63" s="10"/>
      <c r="C63" s="10"/>
      <c r="D63" s="11"/>
      <c r="E63" s="10"/>
      <c r="F63" s="10"/>
      <c r="G63" s="10"/>
      <c r="H63" s="10"/>
      <c r="I63" s="10"/>
    </row>
    <row r="64" customFormat="false" ht="15" hidden="false" customHeight="false" outlineLevel="0" collapsed="false">
      <c r="A64" s="10"/>
      <c r="B64" s="10"/>
      <c r="C64" s="10"/>
      <c r="D64" s="11"/>
      <c r="E64" s="10"/>
      <c r="F64" s="10"/>
      <c r="G64" s="10"/>
      <c r="H64" s="10"/>
      <c r="I64" s="10"/>
    </row>
    <row r="65" customFormat="false" ht="15" hidden="false" customHeight="false" outlineLevel="0" collapsed="false">
      <c r="A65" s="10"/>
      <c r="B65" s="10"/>
      <c r="C65" s="10"/>
      <c r="D65" s="11"/>
      <c r="E65" s="10"/>
      <c r="F65" s="10"/>
      <c r="G65" s="10"/>
      <c r="H65" s="10"/>
      <c r="I65" s="10"/>
    </row>
    <row r="66" customFormat="false" ht="15" hidden="false" customHeight="false" outlineLevel="0" collapsed="false">
      <c r="A66" s="10"/>
      <c r="B66" s="10"/>
      <c r="C66" s="10"/>
      <c r="D66" s="11"/>
      <c r="E66" s="10"/>
      <c r="F66" s="10"/>
      <c r="G66" s="10"/>
      <c r="H66" s="10"/>
      <c r="I66" s="10"/>
    </row>
    <row r="67" customFormat="false" ht="15" hidden="false" customHeight="false" outlineLevel="0" collapsed="false">
      <c r="A67" s="10"/>
      <c r="B67" s="10"/>
      <c r="C67" s="10"/>
      <c r="D67" s="11"/>
      <c r="E67" s="10"/>
      <c r="F67" s="10"/>
      <c r="G67" s="10"/>
      <c r="H67" s="10"/>
      <c r="I67" s="10"/>
    </row>
    <row r="68" customFormat="false" ht="15" hidden="false" customHeight="false" outlineLevel="0" collapsed="false">
      <c r="A68" s="10"/>
      <c r="B68" s="10"/>
      <c r="C68" s="10"/>
      <c r="D68" s="11"/>
      <c r="E68" s="10"/>
      <c r="F68" s="10"/>
      <c r="G68" s="10"/>
      <c r="H68" s="10"/>
      <c r="I68" s="10"/>
    </row>
    <row r="69" customFormat="false" ht="15" hidden="false" customHeight="false" outlineLevel="0" collapsed="false">
      <c r="A69" s="10"/>
      <c r="B69" s="10"/>
      <c r="C69" s="10"/>
      <c r="D69" s="11"/>
      <c r="E69" s="10"/>
      <c r="F69" s="10"/>
      <c r="G69" s="10"/>
      <c r="H69" s="10"/>
      <c r="I69" s="10"/>
    </row>
    <row r="70" customFormat="false" ht="15" hidden="false" customHeight="false" outlineLevel="0" collapsed="false">
      <c r="A70" s="10"/>
      <c r="B70" s="10"/>
      <c r="C70" s="10"/>
      <c r="D70" s="11"/>
      <c r="E70" s="10"/>
      <c r="F70" s="10"/>
      <c r="G70" s="10"/>
      <c r="H70" s="10"/>
      <c r="I70" s="10"/>
    </row>
    <row r="71" customFormat="false" ht="15" hidden="false" customHeight="false" outlineLevel="0" collapsed="false">
      <c r="A71" s="10"/>
      <c r="B71" s="10"/>
      <c r="C71" s="10"/>
      <c r="D71" s="11"/>
      <c r="E71" s="10"/>
      <c r="F71" s="10"/>
      <c r="G71" s="10"/>
      <c r="H71" s="10"/>
      <c r="I71" s="10"/>
    </row>
    <row r="72" customFormat="false" ht="15" hidden="false" customHeight="false" outlineLevel="0" collapsed="false">
      <c r="A72" s="10"/>
      <c r="B72" s="10"/>
      <c r="C72" s="10"/>
      <c r="D72" s="11"/>
      <c r="E72" s="10"/>
      <c r="F72" s="10"/>
      <c r="G72" s="10"/>
      <c r="H72" s="10"/>
      <c r="I72" s="10"/>
    </row>
    <row r="73" customFormat="false" ht="15" hidden="false" customHeight="false" outlineLevel="0" collapsed="false">
      <c r="A73" s="10"/>
      <c r="B73" s="10"/>
      <c r="C73" s="10"/>
      <c r="D73" s="11"/>
      <c r="E73" s="10"/>
      <c r="F73" s="10"/>
      <c r="G73" s="10"/>
      <c r="H73" s="10"/>
      <c r="I73" s="10"/>
    </row>
    <row r="74" customFormat="false" ht="15" hidden="false" customHeight="false" outlineLevel="0" collapsed="false">
      <c r="A74" s="10"/>
      <c r="B74" s="10"/>
      <c r="C74" s="10"/>
      <c r="D74" s="11"/>
      <c r="E74" s="10"/>
      <c r="F74" s="10"/>
      <c r="G74" s="10"/>
      <c r="H74" s="10"/>
      <c r="I74" s="10"/>
    </row>
    <row r="75" customFormat="false" ht="15" hidden="false" customHeight="false" outlineLevel="0" collapsed="false">
      <c r="A75" s="10"/>
      <c r="B75" s="10"/>
      <c r="C75" s="10"/>
      <c r="D75" s="11"/>
      <c r="E75" s="10"/>
      <c r="F75" s="10"/>
      <c r="G75" s="10"/>
      <c r="H75" s="10"/>
      <c r="I75" s="10"/>
    </row>
    <row r="76" customFormat="false" ht="15" hidden="false" customHeight="false" outlineLevel="0" collapsed="false">
      <c r="A76" s="10"/>
      <c r="B76" s="10"/>
      <c r="C76" s="10"/>
      <c r="D76" s="11"/>
      <c r="E76" s="10"/>
      <c r="F76" s="10"/>
      <c r="G76" s="10"/>
      <c r="H76" s="10"/>
      <c r="I76" s="10"/>
    </row>
    <row r="77" customFormat="false" ht="15" hidden="false" customHeight="false" outlineLevel="0" collapsed="false">
      <c r="A77" s="10"/>
      <c r="B77" s="10"/>
      <c r="C77" s="10"/>
      <c r="D77" s="11"/>
      <c r="E77" s="10"/>
      <c r="F77" s="10"/>
      <c r="G77" s="10"/>
      <c r="H77" s="10"/>
      <c r="I77" s="10"/>
    </row>
    <row r="78" customFormat="false" ht="15" hidden="false" customHeight="false" outlineLevel="0" collapsed="false">
      <c r="A78" s="10"/>
      <c r="B78" s="10"/>
      <c r="C78" s="10"/>
      <c r="D78" s="11"/>
      <c r="E78" s="10"/>
      <c r="F78" s="10"/>
      <c r="G78" s="10"/>
      <c r="H78" s="10"/>
      <c r="I78" s="10"/>
    </row>
    <row r="79" customFormat="false" ht="15" hidden="false" customHeight="false" outlineLevel="0" collapsed="false">
      <c r="A79" s="10"/>
      <c r="B79" s="10"/>
      <c r="C79" s="10"/>
      <c r="D79" s="11"/>
      <c r="E79" s="10"/>
      <c r="F79" s="10"/>
      <c r="G79" s="10"/>
      <c r="H79" s="10"/>
      <c r="I79" s="10"/>
    </row>
    <row r="80" customFormat="false" ht="15" hidden="false" customHeight="false" outlineLevel="0" collapsed="false">
      <c r="A80" s="10"/>
      <c r="B80" s="10"/>
      <c r="C80" s="10"/>
      <c r="D80" s="11"/>
      <c r="E80" s="10"/>
      <c r="F80" s="10"/>
      <c r="G80" s="10"/>
      <c r="H80" s="10"/>
      <c r="I80" s="10"/>
    </row>
    <row r="81" customFormat="false" ht="15" hidden="false" customHeight="false" outlineLevel="0" collapsed="false">
      <c r="A81" s="10"/>
      <c r="B81" s="10"/>
      <c r="C81" s="10"/>
      <c r="D81" s="11"/>
      <c r="E81" s="10"/>
      <c r="F81" s="10"/>
      <c r="G81" s="10"/>
      <c r="H81" s="10"/>
      <c r="I81" s="10"/>
    </row>
    <row r="82" customFormat="false" ht="15" hidden="false" customHeight="false" outlineLevel="0" collapsed="false">
      <c r="A82" s="10"/>
      <c r="B82" s="10"/>
      <c r="C82" s="10"/>
      <c r="D82" s="11"/>
      <c r="E82" s="10"/>
      <c r="F82" s="10"/>
      <c r="G82" s="10"/>
      <c r="H82" s="10"/>
      <c r="I82" s="10"/>
    </row>
    <row r="83" customFormat="false" ht="15" hidden="false" customHeight="false" outlineLevel="0" collapsed="false">
      <c r="A83" s="10"/>
      <c r="B83" s="10"/>
      <c r="C83" s="10"/>
      <c r="D83" s="11"/>
      <c r="E83" s="10"/>
      <c r="F83" s="10"/>
      <c r="G83" s="10"/>
      <c r="H83" s="10"/>
      <c r="I83" s="10"/>
    </row>
    <row r="84" customFormat="false" ht="15" hidden="false" customHeight="false" outlineLevel="0" collapsed="false">
      <c r="A84" s="10"/>
      <c r="B84" s="10"/>
      <c r="C84" s="10"/>
      <c r="D84" s="11"/>
      <c r="E84" s="10"/>
      <c r="F84" s="10"/>
      <c r="G84" s="10"/>
      <c r="H84" s="10"/>
      <c r="I84" s="10"/>
    </row>
    <row r="85" customFormat="false" ht="15" hidden="false" customHeight="false" outlineLevel="0" collapsed="false">
      <c r="A85" s="10"/>
      <c r="B85" s="10"/>
      <c r="C85" s="10"/>
      <c r="D85" s="11"/>
      <c r="E85" s="10"/>
      <c r="F85" s="10"/>
      <c r="G85" s="10"/>
      <c r="H85" s="10"/>
      <c r="I85" s="10"/>
    </row>
    <row r="86" customFormat="false" ht="15" hidden="false" customHeight="false" outlineLevel="0" collapsed="false">
      <c r="A86" s="10"/>
      <c r="B86" s="10"/>
      <c r="C86" s="10"/>
      <c r="D86" s="11"/>
      <c r="E86" s="10"/>
      <c r="F86" s="10"/>
      <c r="G86" s="10"/>
      <c r="H86" s="10"/>
      <c r="I86" s="10"/>
    </row>
    <row r="87" customFormat="false" ht="15" hidden="false" customHeight="false" outlineLevel="0" collapsed="false">
      <c r="A87" s="10"/>
      <c r="B87" s="10"/>
      <c r="C87" s="10"/>
      <c r="D87" s="11"/>
      <c r="E87" s="10"/>
      <c r="F87" s="10"/>
      <c r="G87" s="10"/>
      <c r="H87" s="10"/>
      <c r="I87" s="10"/>
    </row>
    <row r="88" customFormat="false" ht="15" hidden="false" customHeight="false" outlineLevel="0" collapsed="false">
      <c r="A88" s="10"/>
      <c r="B88" s="10"/>
      <c r="C88" s="10"/>
      <c r="D88" s="11"/>
      <c r="E88" s="10"/>
      <c r="F88" s="10"/>
      <c r="G88" s="10"/>
      <c r="H88" s="10"/>
      <c r="I88" s="10"/>
    </row>
    <row r="89" customFormat="false" ht="15" hidden="false" customHeight="false" outlineLevel="0" collapsed="false">
      <c r="A89" s="10"/>
      <c r="B89" s="10"/>
      <c r="C89" s="10"/>
      <c r="D89" s="11"/>
      <c r="E89" s="10"/>
      <c r="F89" s="10"/>
      <c r="G89" s="10"/>
      <c r="H89" s="10"/>
      <c r="I89" s="10"/>
    </row>
    <row r="90" customFormat="false" ht="15" hidden="false" customHeight="false" outlineLevel="0" collapsed="false">
      <c r="A90" s="10"/>
      <c r="B90" s="10"/>
      <c r="C90" s="10"/>
      <c r="D90" s="11"/>
      <c r="E90" s="10"/>
      <c r="F90" s="10"/>
      <c r="G90" s="10"/>
      <c r="H90" s="10"/>
      <c r="I90" s="10"/>
    </row>
    <row r="91" customFormat="false" ht="15" hidden="false" customHeight="false" outlineLevel="0" collapsed="false">
      <c r="A91" s="10"/>
      <c r="B91" s="10"/>
      <c r="C91" s="10"/>
      <c r="D91" s="11"/>
      <c r="E91" s="10"/>
      <c r="F91" s="10"/>
      <c r="G91" s="10"/>
      <c r="H91" s="10"/>
      <c r="I91" s="10"/>
    </row>
    <row r="92" customFormat="false" ht="15" hidden="false" customHeight="false" outlineLevel="0" collapsed="false">
      <c r="A92" s="10"/>
      <c r="B92" s="10"/>
      <c r="C92" s="10"/>
      <c r="D92" s="11"/>
      <c r="E92" s="10"/>
      <c r="F92" s="10"/>
      <c r="G92" s="10"/>
      <c r="H92" s="10"/>
      <c r="I92" s="10"/>
    </row>
    <row r="93" customFormat="false" ht="15" hidden="false" customHeight="false" outlineLevel="0" collapsed="false">
      <c r="A93" s="10"/>
      <c r="B93" s="10"/>
      <c r="C93" s="10"/>
      <c r="D93" s="11"/>
      <c r="E93" s="10"/>
      <c r="F93" s="10"/>
      <c r="G93" s="10"/>
      <c r="H93" s="10"/>
      <c r="I93" s="10"/>
    </row>
    <row r="94" customFormat="false" ht="15" hidden="false" customHeight="false" outlineLevel="0" collapsed="false">
      <c r="A94" s="10"/>
      <c r="B94" s="10"/>
      <c r="C94" s="10"/>
      <c r="D94" s="11"/>
      <c r="E94" s="10"/>
      <c r="F94" s="10"/>
      <c r="G94" s="10"/>
      <c r="H94" s="10"/>
      <c r="I94" s="10"/>
    </row>
    <row r="95" customFormat="false" ht="15" hidden="false" customHeight="false" outlineLevel="0" collapsed="false">
      <c r="A95" s="10"/>
      <c r="B95" s="10"/>
      <c r="C95" s="10"/>
      <c r="D95" s="11"/>
      <c r="E95" s="10"/>
      <c r="F95" s="10"/>
      <c r="G95" s="10"/>
      <c r="H95" s="10"/>
      <c r="I95" s="10"/>
    </row>
    <row r="96" customFormat="false" ht="15" hidden="false" customHeight="false" outlineLevel="0" collapsed="false">
      <c r="A96" s="10"/>
      <c r="B96" s="10"/>
      <c r="C96" s="10"/>
      <c r="D96" s="11"/>
      <c r="E96" s="10"/>
      <c r="F96" s="10"/>
      <c r="G96" s="10"/>
      <c r="H96" s="10"/>
      <c r="I96" s="10"/>
    </row>
    <row r="97" customFormat="false" ht="15" hidden="false" customHeight="false" outlineLevel="0" collapsed="false">
      <c r="A97" s="10"/>
      <c r="B97" s="10"/>
      <c r="C97" s="10"/>
      <c r="D97" s="11"/>
      <c r="E97" s="10"/>
      <c r="F97" s="10"/>
      <c r="G97" s="10"/>
      <c r="H97" s="10"/>
      <c r="I97" s="10"/>
    </row>
    <row r="98" customFormat="false" ht="15" hidden="false" customHeight="false" outlineLevel="0" collapsed="false">
      <c r="A98" s="10"/>
      <c r="B98" s="10"/>
      <c r="C98" s="10"/>
      <c r="D98" s="11"/>
      <c r="E98" s="10"/>
      <c r="F98" s="10"/>
      <c r="G98" s="10"/>
      <c r="H98" s="10"/>
      <c r="I98" s="10"/>
    </row>
    <row r="99" customFormat="false" ht="15" hidden="false" customHeight="false" outlineLevel="0" collapsed="false">
      <c r="A99" s="10"/>
      <c r="B99" s="10"/>
      <c r="C99" s="10"/>
      <c r="D99" s="11"/>
      <c r="E99" s="10"/>
      <c r="F99" s="10"/>
      <c r="G99" s="10"/>
      <c r="H99" s="10"/>
      <c r="I99" s="10"/>
    </row>
    <row r="100" customFormat="false" ht="15" hidden="false" customHeight="false" outlineLevel="0" collapsed="false">
      <c r="A100" s="10"/>
      <c r="B100" s="10"/>
      <c r="C100" s="10"/>
      <c r="D100" s="11"/>
      <c r="E100" s="10"/>
      <c r="F100" s="10"/>
      <c r="G100" s="10"/>
      <c r="H100" s="10"/>
      <c r="I100" s="10"/>
    </row>
    <row r="101" customFormat="false" ht="15" hidden="false" customHeight="false" outlineLevel="0" collapsed="false">
      <c r="A101" s="10"/>
      <c r="B101" s="10"/>
      <c r="C101" s="10"/>
      <c r="D101" s="11"/>
      <c r="E101" s="10"/>
      <c r="F101" s="10"/>
      <c r="G101" s="10"/>
      <c r="H101" s="10"/>
      <c r="I101" s="10"/>
    </row>
    <row r="102" customFormat="false" ht="15" hidden="false" customHeight="false" outlineLevel="0" collapsed="false">
      <c r="A102" s="10"/>
      <c r="B102" s="10"/>
      <c r="C102" s="10"/>
      <c r="D102" s="11"/>
      <c r="E102" s="10"/>
      <c r="F102" s="10"/>
      <c r="G102" s="10"/>
      <c r="H102" s="10"/>
      <c r="I102" s="10"/>
    </row>
    <row r="103" customFormat="false" ht="15" hidden="false" customHeight="false" outlineLevel="0" collapsed="false">
      <c r="A103" s="10"/>
      <c r="B103" s="10"/>
      <c r="C103" s="10"/>
      <c r="D103" s="11"/>
      <c r="E103" s="10"/>
      <c r="F103" s="10"/>
      <c r="G103" s="10"/>
      <c r="H103" s="10"/>
      <c r="I103" s="10"/>
    </row>
    <row r="104" customFormat="false" ht="15" hidden="false" customHeight="false" outlineLevel="0" collapsed="false">
      <c r="A104" s="10"/>
      <c r="B104" s="10"/>
      <c r="C104" s="10"/>
      <c r="D104" s="11"/>
      <c r="E104" s="10"/>
      <c r="F104" s="10"/>
      <c r="G104" s="10"/>
      <c r="H104" s="10"/>
      <c r="I104" s="10"/>
    </row>
    <row r="105" customFormat="false" ht="15" hidden="false" customHeight="false" outlineLevel="0" collapsed="false">
      <c r="A105" s="10"/>
      <c r="B105" s="10"/>
      <c r="C105" s="10"/>
      <c r="D105" s="11"/>
      <c r="E105" s="10"/>
      <c r="F105" s="10"/>
      <c r="G105" s="10"/>
      <c r="H105" s="10"/>
      <c r="I105" s="10"/>
    </row>
    <row r="106" customFormat="false" ht="15" hidden="false" customHeight="false" outlineLevel="0" collapsed="false">
      <c r="A106" s="10"/>
      <c r="B106" s="10"/>
      <c r="C106" s="10"/>
      <c r="D106" s="11"/>
      <c r="E106" s="10"/>
      <c r="F106" s="10"/>
      <c r="G106" s="10"/>
      <c r="H106" s="10"/>
      <c r="I106" s="10"/>
    </row>
    <row r="107" customFormat="false" ht="15" hidden="false" customHeight="false" outlineLevel="0" collapsed="false">
      <c r="A107" s="10"/>
      <c r="B107" s="10"/>
      <c r="C107" s="10"/>
      <c r="D107" s="11"/>
      <c r="E107" s="10"/>
      <c r="F107" s="10"/>
      <c r="G107" s="10"/>
      <c r="H107" s="10"/>
      <c r="I107" s="10"/>
    </row>
    <row r="108" customFormat="false" ht="15" hidden="false" customHeight="false" outlineLevel="0" collapsed="false">
      <c r="A108" s="10"/>
      <c r="B108" s="10"/>
      <c r="C108" s="10"/>
      <c r="D108" s="11"/>
      <c r="E108" s="10"/>
      <c r="F108" s="10"/>
      <c r="G108" s="10"/>
      <c r="H108" s="10"/>
      <c r="I108" s="10"/>
    </row>
    <row r="109" customFormat="false" ht="15" hidden="false" customHeight="false" outlineLevel="0" collapsed="false">
      <c r="A109" s="10"/>
      <c r="B109" s="10"/>
      <c r="C109" s="10"/>
      <c r="D109" s="11"/>
      <c r="E109" s="10"/>
      <c r="F109" s="10"/>
      <c r="G109" s="10"/>
      <c r="H109" s="10"/>
      <c r="I109" s="10"/>
    </row>
    <row r="110" customFormat="false" ht="15" hidden="false" customHeight="false" outlineLevel="0" collapsed="false">
      <c r="A110" s="10"/>
      <c r="B110" s="10"/>
      <c r="C110" s="10"/>
      <c r="D110" s="11"/>
      <c r="E110" s="10"/>
      <c r="F110" s="10"/>
      <c r="G110" s="10"/>
      <c r="H110" s="10"/>
      <c r="I110" s="10"/>
    </row>
    <row r="111" customFormat="false" ht="15" hidden="false" customHeight="false" outlineLevel="0" collapsed="false">
      <c r="A111" s="10"/>
      <c r="B111" s="10"/>
      <c r="C111" s="10"/>
      <c r="D111" s="11"/>
      <c r="E111" s="10"/>
      <c r="F111" s="10"/>
      <c r="G111" s="10"/>
      <c r="H111" s="10"/>
      <c r="I111" s="10"/>
    </row>
    <row r="112" customFormat="false" ht="15" hidden="false" customHeight="false" outlineLevel="0" collapsed="false">
      <c r="A112" s="10"/>
      <c r="B112" s="10"/>
      <c r="C112" s="10"/>
      <c r="D112" s="11"/>
      <c r="E112" s="10"/>
      <c r="F112" s="10"/>
      <c r="G112" s="10"/>
      <c r="H112" s="10"/>
      <c r="I112" s="10"/>
    </row>
    <row r="113" customFormat="false" ht="15" hidden="false" customHeight="false" outlineLevel="0" collapsed="false">
      <c r="A113" s="10"/>
      <c r="B113" s="10"/>
      <c r="C113" s="10"/>
      <c r="D113" s="11"/>
      <c r="E113" s="10"/>
      <c r="F113" s="10"/>
      <c r="G113" s="10"/>
      <c r="H113" s="10"/>
      <c r="I113" s="10"/>
    </row>
    <row r="114" customFormat="false" ht="15" hidden="false" customHeight="false" outlineLevel="0" collapsed="false">
      <c r="A114" s="10"/>
      <c r="B114" s="10"/>
      <c r="C114" s="10"/>
      <c r="D114" s="11"/>
      <c r="E114" s="10"/>
      <c r="F114" s="10"/>
      <c r="G114" s="10"/>
      <c r="H114" s="10"/>
      <c r="I114" s="10"/>
    </row>
    <row r="115" customFormat="false" ht="15" hidden="false" customHeight="false" outlineLevel="0" collapsed="false">
      <c r="A115" s="10"/>
      <c r="B115" s="10"/>
      <c r="C115" s="10"/>
      <c r="D115" s="11"/>
      <c r="E115" s="10"/>
      <c r="F115" s="10"/>
      <c r="G115" s="10"/>
      <c r="H115" s="10"/>
      <c r="I115" s="10"/>
    </row>
    <row r="116" customFormat="false" ht="15" hidden="false" customHeight="false" outlineLevel="0" collapsed="false">
      <c r="A116" s="10"/>
      <c r="B116" s="10"/>
      <c r="C116" s="10"/>
      <c r="D116" s="11"/>
      <c r="E116" s="10"/>
      <c r="F116" s="10"/>
      <c r="G116" s="10"/>
      <c r="H116" s="10"/>
      <c r="I116" s="10"/>
    </row>
    <row r="117" customFormat="false" ht="15" hidden="false" customHeight="false" outlineLevel="0" collapsed="false">
      <c r="A117" s="10"/>
      <c r="B117" s="10"/>
      <c r="C117" s="10"/>
      <c r="D117" s="11"/>
      <c r="E117" s="10"/>
      <c r="F117" s="10"/>
      <c r="G117" s="10"/>
      <c r="H117" s="10"/>
      <c r="I117" s="10"/>
    </row>
    <row r="118" customFormat="false" ht="15" hidden="false" customHeight="false" outlineLevel="0" collapsed="false">
      <c r="A118" s="10"/>
      <c r="B118" s="10"/>
      <c r="C118" s="10"/>
      <c r="D118" s="11"/>
      <c r="E118" s="10"/>
      <c r="F118" s="10"/>
      <c r="G118" s="10"/>
      <c r="H118" s="10"/>
      <c r="I118" s="10"/>
    </row>
    <row r="119" customFormat="false" ht="15" hidden="false" customHeight="false" outlineLevel="0" collapsed="false">
      <c r="A119" s="10"/>
      <c r="B119" s="10"/>
      <c r="C119" s="10"/>
      <c r="D119" s="11"/>
      <c r="E119" s="10"/>
      <c r="F119" s="10"/>
      <c r="G119" s="10"/>
      <c r="H119" s="10"/>
      <c r="I119" s="10"/>
    </row>
    <row r="120" customFormat="false" ht="15" hidden="false" customHeight="false" outlineLevel="0" collapsed="false">
      <c r="A120" s="10"/>
      <c r="B120" s="10"/>
      <c r="C120" s="10"/>
      <c r="D120" s="11"/>
      <c r="E120" s="10"/>
      <c r="F120" s="10"/>
      <c r="G120" s="10"/>
      <c r="H120" s="10"/>
      <c r="I120" s="10"/>
    </row>
    <row r="121" customFormat="false" ht="15" hidden="false" customHeight="false" outlineLevel="0" collapsed="false">
      <c r="A121" s="10"/>
      <c r="B121" s="10"/>
      <c r="C121" s="10"/>
      <c r="D121" s="11"/>
      <c r="E121" s="10"/>
      <c r="F121" s="10"/>
      <c r="G121" s="10"/>
      <c r="H121" s="10"/>
      <c r="I121" s="10"/>
    </row>
    <row r="122" customFormat="false" ht="15" hidden="false" customHeight="false" outlineLevel="0" collapsed="false">
      <c r="A122" s="10"/>
      <c r="B122" s="10"/>
      <c r="C122" s="10"/>
      <c r="D122" s="11"/>
      <c r="E122" s="10"/>
      <c r="F122" s="10"/>
      <c r="G122" s="10"/>
      <c r="H122" s="10"/>
      <c r="I122" s="10"/>
    </row>
    <row r="123" customFormat="false" ht="15" hidden="false" customHeight="false" outlineLevel="0" collapsed="false">
      <c r="A123" s="10"/>
      <c r="B123" s="10"/>
      <c r="C123" s="10"/>
      <c r="D123" s="11"/>
      <c r="E123" s="10"/>
      <c r="F123" s="10"/>
      <c r="G123" s="10"/>
      <c r="H123" s="10"/>
      <c r="I123" s="10"/>
    </row>
    <row r="124" customFormat="false" ht="15" hidden="false" customHeight="false" outlineLevel="0" collapsed="false">
      <c r="A124" s="10"/>
      <c r="B124" s="10"/>
      <c r="C124" s="10"/>
      <c r="D124" s="11"/>
      <c r="E124" s="10"/>
      <c r="F124" s="10"/>
      <c r="G124" s="10"/>
      <c r="H124" s="10"/>
      <c r="I124" s="10"/>
    </row>
    <row r="125" customFormat="false" ht="15" hidden="false" customHeight="false" outlineLevel="0" collapsed="false">
      <c r="A125" s="10"/>
      <c r="B125" s="10"/>
      <c r="C125" s="10"/>
      <c r="D125" s="11"/>
      <c r="E125" s="10"/>
      <c r="F125" s="10"/>
      <c r="G125" s="10"/>
      <c r="H125" s="10"/>
      <c r="I125" s="10"/>
    </row>
    <row r="126" customFormat="false" ht="15" hidden="false" customHeight="false" outlineLevel="0" collapsed="false">
      <c r="A126" s="10"/>
      <c r="B126" s="10"/>
      <c r="C126" s="10"/>
      <c r="D126" s="11"/>
      <c r="E126" s="10"/>
      <c r="F126" s="10"/>
      <c r="G126" s="10"/>
      <c r="H126" s="10"/>
      <c r="I126" s="10"/>
    </row>
    <row r="127" customFormat="false" ht="15" hidden="false" customHeight="false" outlineLevel="0" collapsed="false">
      <c r="A127" s="10"/>
      <c r="B127" s="10"/>
      <c r="C127" s="10"/>
      <c r="D127" s="11"/>
      <c r="E127" s="10"/>
      <c r="F127" s="10"/>
      <c r="G127" s="10"/>
      <c r="H127" s="10"/>
      <c r="I127" s="10"/>
    </row>
    <row r="128" customFormat="false" ht="15" hidden="false" customHeight="false" outlineLevel="0" collapsed="false">
      <c r="A128" s="10"/>
      <c r="B128" s="10"/>
      <c r="C128" s="10"/>
      <c r="D128" s="11"/>
      <c r="E128" s="10"/>
      <c r="F128" s="10"/>
      <c r="G128" s="10"/>
      <c r="H128" s="10"/>
      <c r="I128" s="10"/>
    </row>
    <row r="129" customFormat="false" ht="15" hidden="false" customHeight="false" outlineLevel="0" collapsed="false">
      <c r="A129" s="10"/>
      <c r="B129" s="10"/>
      <c r="C129" s="10"/>
      <c r="D129" s="11"/>
      <c r="E129" s="10"/>
      <c r="F129" s="10"/>
      <c r="G129" s="10"/>
      <c r="H129" s="10"/>
      <c r="I129" s="10"/>
    </row>
    <row r="130" customFormat="false" ht="15" hidden="false" customHeight="false" outlineLevel="0" collapsed="false">
      <c r="A130" s="10"/>
      <c r="B130" s="10"/>
      <c r="C130" s="10"/>
      <c r="D130" s="11"/>
      <c r="E130" s="10"/>
      <c r="F130" s="10"/>
      <c r="G130" s="10"/>
      <c r="H130" s="10"/>
      <c r="I130" s="10"/>
    </row>
    <row r="131" customFormat="false" ht="15" hidden="false" customHeight="false" outlineLevel="0" collapsed="false">
      <c r="A131" s="10"/>
      <c r="B131" s="10"/>
      <c r="C131" s="10"/>
      <c r="D131" s="11"/>
      <c r="E131" s="10"/>
      <c r="F131" s="10"/>
      <c r="G131" s="10"/>
      <c r="H131" s="10"/>
      <c r="I131" s="10"/>
    </row>
    <row r="132" customFormat="false" ht="15" hidden="false" customHeight="false" outlineLevel="0" collapsed="false">
      <c r="A132" s="10"/>
      <c r="B132" s="10"/>
      <c r="C132" s="10"/>
      <c r="D132" s="11"/>
      <c r="E132" s="10"/>
      <c r="F132" s="10"/>
      <c r="G132" s="10"/>
      <c r="H132" s="10"/>
      <c r="I132" s="10"/>
    </row>
    <row r="133" customFormat="false" ht="15" hidden="false" customHeight="false" outlineLevel="0" collapsed="false">
      <c r="A133" s="10"/>
      <c r="B133" s="10"/>
      <c r="C133" s="10"/>
      <c r="D133" s="11"/>
      <c r="E133" s="10"/>
      <c r="F133" s="10"/>
      <c r="G133" s="10"/>
      <c r="H133" s="10"/>
      <c r="I133" s="10"/>
    </row>
    <row r="134" customFormat="false" ht="15" hidden="false" customHeight="false" outlineLevel="0" collapsed="false">
      <c r="A134" s="10"/>
      <c r="B134" s="10"/>
      <c r="C134" s="10"/>
      <c r="D134" s="11"/>
      <c r="E134" s="10"/>
      <c r="F134" s="10"/>
      <c r="G134" s="10"/>
      <c r="H134" s="10"/>
      <c r="I134" s="10"/>
    </row>
    <row r="135" customFormat="false" ht="15" hidden="false" customHeight="false" outlineLevel="0" collapsed="false">
      <c r="A135" s="10"/>
      <c r="B135" s="10"/>
      <c r="C135" s="10"/>
      <c r="D135" s="11"/>
      <c r="E135" s="10"/>
      <c r="F135" s="10"/>
      <c r="G135" s="10"/>
      <c r="H135" s="10"/>
      <c r="I135" s="10"/>
    </row>
    <row r="136" customFormat="false" ht="15" hidden="false" customHeight="false" outlineLevel="0" collapsed="false">
      <c r="A136" s="10"/>
      <c r="B136" s="10"/>
      <c r="C136" s="10"/>
      <c r="D136" s="11"/>
      <c r="E136" s="10"/>
      <c r="F136" s="10"/>
      <c r="G136" s="10"/>
      <c r="H136" s="10"/>
      <c r="I136" s="10"/>
    </row>
    <row r="137" customFormat="false" ht="15" hidden="false" customHeight="false" outlineLevel="0" collapsed="false">
      <c r="A137" s="10"/>
      <c r="B137" s="10"/>
      <c r="C137" s="10"/>
      <c r="D137" s="11"/>
      <c r="E137" s="10"/>
      <c r="F137" s="10"/>
      <c r="G137" s="10"/>
      <c r="H137" s="10"/>
      <c r="I137" s="10"/>
    </row>
    <row r="138" customFormat="false" ht="15" hidden="false" customHeight="false" outlineLevel="0" collapsed="false">
      <c r="A138" s="10"/>
      <c r="B138" s="10"/>
      <c r="C138" s="10"/>
      <c r="D138" s="11"/>
      <c r="E138" s="10"/>
      <c r="F138" s="10"/>
      <c r="G138" s="10"/>
      <c r="H138" s="10"/>
      <c r="I138" s="10"/>
    </row>
    <row r="139" customFormat="false" ht="15" hidden="false" customHeight="false" outlineLevel="0" collapsed="false">
      <c r="A139" s="10"/>
      <c r="B139" s="10"/>
      <c r="C139" s="10"/>
      <c r="D139" s="11"/>
      <c r="E139" s="10"/>
      <c r="F139" s="10"/>
      <c r="G139" s="10"/>
      <c r="H139" s="10"/>
      <c r="I139" s="10"/>
    </row>
    <row r="140" customFormat="false" ht="15" hidden="false" customHeight="false" outlineLevel="0" collapsed="false">
      <c r="A140" s="10"/>
      <c r="B140" s="10"/>
      <c r="C140" s="10"/>
      <c r="D140" s="11"/>
      <c r="E140" s="10"/>
      <c r="F140" s="10"/>
      <c r="G140" s="10"/>
      <c r="H140" s="10"/>
      <c r="I140" s="10"/>
    </row>
    <row r="141" customFormat="false" ht="15" hidden="false" customHeight="false" outlineLevel="0" collapsed="false">
      <c r="A141" s="10"/>
      <c r="B141" s="10"/>
      <c r="C141" s="10"/>
      <c r="D141" s="11"/>
      <c r="E141" s="10"/>
      <c r="F141" s="10"/>
      <c r="G141" s="10"/>
      <c r="H141" s="10"/>
      <c r="I141" s="10"/>
    </row>
    <row r="142" customFormat="false" ht="15" hidden="false" customHeight="false" outlineLevel="0" collapsed="false">
      <c r="A142" s="10"/>
      <c r="B142" s="10"/>
      <c r="C142" s="10"/>
      <c r="D142" s="11"/>
      <c r="E142" s="10"/>
      <c r="F142" s="10"/>
      <c r="G142" s="10"/>
      <c r="H142" s="10"/>
      <c r="I142" s="10"/>
    </row>
    <row r="143" customFormat="false" ht="15" hidden="false" customHeight="false" outlineLevel="0" collapsed="false">
      <c r="A143" s="10"/>
      <c r="B143" s="10"/>
      <c r="C143" s="10"/>
      <c r="D143" s="11"/>
      <c r="E143" s="10"/>
      <c r="F143" s="10"/>
      <c r="G143" s="10"/>
      <c r="H143" s="10"/>
      <c r="I143" s="10"/>
    </row>
    <row r="144" customFormat="false" ht="15" hidden="false" customHeight="false" outlineLevel="0" collapsed="false">
      <c r="A144" s="10"/>
      <c r="B144" s="10"/>
      <c r="C144" s="10"/>
      <c r="D144" s="11"/>
      <c r="E144" s="10"/>
      <c r="F144" s="10"/>
      <c r="G144" s="10"/>
      <c r="H144" s="10"/>
      <c r="I144" s="10"/>
    </row>
    <row r="145" customFormat="false" ht="15" hidden="false" customHeight="false" outlineLevel="0" collapsed="false">
      <c r="A145" s="10"/>
      <c r="B145" s="10"/>
      <c r="C145" s="10"/>
      <c r="D145" s="11"/>
      <c r="E145" s="10"/>
      <c r="F145" s="10"/>
      <c r="G145" s="10"/>
      <c r="H145" s="10"/>
      <c r="I145" s="10"/>
    </row>
    <row r="146" customFormat="false" ht="15" hidden="false" customHeight="false" outlineLevel="0" collapsed="false">
      <c r="A146" s="10"/>
      <c r="B146" s="10"/>
      <c r="C146" s="10"/>
      <c r="D146" s="11"/>
      <c r="E146" s="10"/>
      <c r="F146" s="10"/>
      <c r="G146" s="10"/>
      <c r="H146" s="10"/>
      <c r="I146" s="10"/>
    </row>
    <row r="147" customFormat="false" ht="15" hidden="false" customHeight="false" outlineLevel="0" collapsed="false">
      <c r="A147" s="10"/>
      <c r="B147" s="10"/>
      <c r="C147" s="10"/>
      <c r="D147" s="11"/>
      <c r="E147" s="10"/>
      <c r="F147" s="10"/>
      <c r="G147" s="10"/>
      <c r="H147" s="10"/>
      <c r="I147" s="10"/>
    </row>
    <row r="148" customFormat="false" ht="15" hidden="false" customHeight="false" outlineLevel="0" collapsed="false">
      <c r="A148" s="10"/>
      <c r="B148" s="10"/>
      <c r="C148" s="10"/>
      <c r="D148" s="11"/>
      <c r="E148" s="10"/>
      <c r="F148" s="10"/>
      <c r="G148" s="10"/>
      <c r="H148" s="10"/>
      <c r="I148" s="10"/>
    </row>
    <row r="149" customFormat="false" ht="15" hidden="false" customHeight="false" outlineLevel="0" collapsed="false">
      <c r="A149" s="10"/>
      <c r="B149" s="10"/>
      <c r="C149" s="10"/>
      <c r="D149" s="11"/>
      <c r="E149" s="10"/>
      <c r="F149" s="10"/>
      <c r="G149" s="10"/>
      <c r="H149" s="10"/>
      <c r="I149" s="10"/>
    </row>
    <row r="150" customFormat="false" ht="15" hidden="false" customHeight="false" outlineLevel="0" collapsed="false">
      <c r="A150" s="10"/>
      <c r="B150" s="10"/>
      <c r="C150" s="10"/>
      <c r="D150" s="11"/>
      <c r="E150" s="10"/>
      <c r="F150" s="10"/>
      <c r="G150" s="10"/>
      <c r="H150" s="10"/>
      <c r="I150" s="10"/>
    </row>
    <row r="151" customFormat="false" ht="15" hidden="false" customHeight="false" outlineLevel="0" collapsed="false">
      <c r="A151" s="10"/>
      <c r="B151" s="10"/>
      <c r="C151" s="10"/>
      <c r="D151" s="11"/>
      <c r="E151" s="10"/>
      <c r="F151" s="10"/>
      <c r="G151" s="10"/>
      <c r="H151" s="10"/>
      <c r="I151" s="10"/>
    </row>
    <row r="152" customFormat="false" ht="15" hidden="false" customHeight="false" outlineLevel="0" collapsed="false">
      <c r="A152" s="10"/>
      <c r="B152" s="10"/>
      <c r="C152" s="10"/>
      <c r="D152" s="11"/>
      <c r="E152" s="10"/>
      <c r="F152" s="10"/>
      <c r="G152" s="10"/>
      <c r="H152" s="10"/>
      <c r="I152" s="10"/>
    </row>
    <row r="153" customFormat="false" ht="15" hidden="false" customHeight="false" outlineLevel="0" collapsed="false">
      <c r="A153" s="10"/>
      <c r="B153" s="10"/>
      <c r="C153" s="10"/>
      <c r="D153" s="11"/>
      <c r="E153" s="10"/>
      <c r="F153" s="10"/>
      <c r="G153" s="10"/>
      <c r="H153" s="10"/>
      <c r="I153" s="10"/>
    </row>
    <row r="154" customFormat="false" ht="15" hidden="false" customHeight="false" outlineLevel="0" collapsed="false">
      <c r="A154" s="10"/>
      <c r="B154" s="10"/>
      <c r="C154" s="10"/>
      <c r="D154" s="11"/>
      <c r="E154" s="10"/>
      <c r="F154" s="10"/>
      <c r="G154" s="10"/>
      <c r="H154" s="10"/>
      <c r="I154" s="10"/>
    </row>
    <row r="155" customFormat="false" ht="15" hidden="false" customHeight="false" outlineLevel="0" collapsed="false">
      <c r="A155" s="10"/>
      <c r="B155" s="10"/>
      <c r="C155" s="10"/>
      <c r="D155" s="11"/>
      <c r="E155" s="10"/>
      <c r="F155" s="10"/>
      <c r="G155" s="10"/>
      <c r="H155" s="10"/>
      <c r="I155" s="10"/>
    </row>
    <row r="156" customFormat="false" ht="15" hidden="false" customHeight="false" outlineLevel="0" collapsed="false">
      <c r="A156" s="10"/>
      <c r="B156" s="10"/>
      <c r="C156" s="10"/>
      <c r="D156" s="11"/>
      <c r="E156" s="10"/>
      <c r="F156" s="10"/>
      <c r="G156" s="10"/>
      <c r="H156" s="10"/>
      <c r="I156" s="10"/>
    </row>
    <row r="157" customFormat="false" ht="15" hidden="false" customHeight="false" outlineLevel="0" collapsed="false">
      <c r="A157" s="10"/>
      <c r="B157" s="10"/>
      <c r="C157" s="10"/>
      <c r="D157" s="11"/>
      <c r="E157" s="10"/>
      <c r="F157" s="10"/>
      <c r="G157" s="10"/>
      <c r="H157" s="10"/>
      <c r="I157" s="10"/>
    </row>
    <row r="158" customFormat="false" ht="15" hidden="false" customHeight="false" outlineLevel="0" collapsed="false">
      <c r="A158" s="10"/>
      <c r="B158" s="10"/>
      <c r="C158" s="10"/>
      <c r="D158" s="11"/>
      <c r="E158" s="10"/>
      <c r="F158" s="10"/>
      <c r="G158" s="10"/>
      <c r="H158" s="10"/>
      <c r="I158" s="10"/>
    </row>
    <row r="159" customFormat="false" ht="15" hidden="false" customHeight="false" outlineLevel="0" collapsed="false">
      <c r="A159" s="10"/>
      <c r="B159" s="10"/>
      <c r="C159" s="10"/>
      <c r="D159" s="11"/>
      <c r="E159" s="10"/>
      <c r="F159" s="10"/>
      <c r="G159" s="10"/>
      <c r="H159" s="10"/>
      <c r="I159" s="10"/>
    </row>
    <row r="160" customFormat="false" ht="15" hidden="false" customHeight="false" outlineLevel="0" collapsed="false">
      <c r="A160" s="10"/>
      <c r="B160" s="10"/>
      <c r="C160" s="10"/>
      <c r="D160" s="11"/>
      <c r="E160" s="10"/>
      <c r="F160" s="10"/>
      <c r="G160" s="10"/>
      <c r="H160" s="10"/>
      <c r="I160" s="10"/>
    </row>
    <row r="161" customFormat="false" ht="15" hidden="false" customHeight="false" outlineLevel="0" collapsed="false">
      <c r="A161" s="10"/>
      <c r="B161" s="10"/>
      <c r="C161" s="10"/>
      <c r="D161" s="11"/>
      <c r="E161" s="10"/>
      <c r="F161" s="10"/>
      <c r="G161" s="10"/>
      <c r="H161" s="10"/>
      <c r="I161" s="10"/>
    </row>
    <row r="162" customFormat="false" ht="15" hidden="false" customHeight="false" outlineLevel="0" collapsed="false">
      <c r="A162" s="10"/>
      <c r="B162" s="10"/>
      <c r="C162" s="10"/>
      <c r="D162" s="11"/>
      <c r="E162" s="10"/>
      <c r="F162" s="10"/>
      <c r="G162" s="10"/>
      <c r="H162" s="10"/>
      <c r="I162" s="10"/>
    </row>
    <row r="163" customFormat="false" ht="15" hidden="false" customHeight="false" outlineLevel="0" collapsed="false">
      <c r="A163" s="10"/>
      <c r="B163" s="10"/>
      <c r="C163" s="10"/>
      <c r="D163" s="11"/>
      <c r="E163" s="10"/>
      <c r="F163" s="10"/>
      <c r="G163" s="10"/>
      <c r="H163" s="10"/>
      <c r="I163" s="10"/>
    </row>
    <row r="164" customFormat="false" ht="15" hidden="false" customHeight="false" outlineLevel="0" collapsed="false">
      <c r="A164" s="10"/>
      <c r="B164" s="10"/>
      <c r="C164" s="10"/>
      <c r="D164" s="11"/>
      <c r="E164" s="10"/>
      <c r="F164" s="10"/>
      <c r="G164" s="10"/>
      <c r="H164" s="10"/>
      <c r="I164" s="10"/>
    </row>
    <row r="165" customFormat="false" ht="15" hidden="false" customHeight="false" outlineLevel="0" collapsed="false">
      <c r="A165" s="10"/>
      <c r="B165" s="10"/>
      <c r="C165" s="10"/>
      <c r="D165" s="11"/>
      <c r="E165" s="10"/>
      <c r="F165" s="10"/>
      <c r="G165" s="10"/>
      <c r="H165" s="10"/>
      <c r="I165" s="10"/>
    </row>
    <row r="166" customFormat="false" ht="15" hidden="false" customHeight="false" outlineLevel="0" collapsed="false">
      <c r="A166" s="10"/>
      <c r="B166" s="10"/>
      <c r="C166" s="10"/>
      <c r="D166" s="11"/>
      <c r="E166" s="10"/>
      <c r="F166" s="10"/>
      <c r="G166" s="10"/>
      <c r="H166" s="10"/>
      <c r="I166" s="10"/>
    </row>
    <row r="167" customFormat="false" ht="15" hidden="false" customHeight="false" outlineLevel="0" collapsed="false">
      <c r="A167" s="10"/>
      <c r="B167" s="10"/>
      <c r="C167" s="10"/>
      <c r="D167" s="11"/>
      <c r="E167" s="10"/>
      <c r="F167" s="10"/>
      <c r="G167" s="10"/>
      <c r="H167" s="10"/>
      <c r="I167" s="10"/>
    </row>
    <row r="168" customFormat="false" ht="15" hidden="false" customHeight="false" outlineLevel="0" collapsed="false">
      <c r="A168" s="10"/>
      <c r="B168" s="10"/>
      <c r="C168" s="10"/>
      <c r="D168" s="11"/>
      <c r="E168" s="10"/>
      <c r="F168" s="10"/>
      <c r="G168" s="10"/>
      <c r="H168" s="10"/>
      <c r="I168" s="10"/>
    </row>
    <row r="169" customFormat="false" ht="15" hidden="false" customHeight="false" outlineLevel="0" collapsed="false">
      <c r="A169" s="10"/>
      <c r="B169" s="10"/>
      <c r="C169" s="10"/>
      <c r="D169" s="11"/>
      <c r="E169" s="10"/>
      <c r="F169" s="10"/>
      <c r="G169" s="10"/>
      <c r="H169" s="10"/>
      <c r="I169" s="10"/>
    </row>
    <row r="170" customFormat="false" ht="15" hidden="false" customHeight="false" outlineLevel="0" collapsed="false">
      <c r="A170" s="10"/>
      <c r="B170" s="10"/>
      <c r="C170" s="10"/>
      <c r="D170" s="11"/>
      <c r="E170" s="10"/>
      <c r="F170" s="10"/>
      <c r="G170" s="10"/>
      <c r="H170" s="10"/>
      <c r="I170" s="10"/>
    </row>
    <row r="171" customFormat="false" ht="15" hidden="false" customHeight="false" outlineLevel="0" collapsed="false">
      <c r="A171" s="10"/>
      <c r="B171" s="10"/>
      <c r="C171" s="10"/>
      <c r="D171" s="11"/>
      <c r="E171" s="10"/>
      <c r="F171" s="10"/>
      <c r="G171" s="10"/>
      <c r="H171" s="10"/>
      <c r="I171" s="10"/>
    </row>
    <row r="172" customFormat="false" ht="15" hidden="false" customHeight="false" outlineLevel="0" collapsed="false">
      <c r="A172" s="10"/>
      <c r="B172" s="10"/>
      <c r="C172" s="10"/>
      <c r="D172" s="11"/>
      <c r="E172" s="10"/>
      <c r="F172" s="10"/>
      <c r="G172" s="10"/>
      <c r="H172" s="10"/>
      <c r="I172" s="10"/>
    </row>
    <row r="173" customFormat="false" ht="15" hidden="false" customHeight="false" outlineLevel="0" collapsed="false">
      <c r="A173" s="10"/>
      <c r="B173" s="10"/>
      <c r="C173" s="10"/>
      <c r="D173" s="11"/>
      <c r="E173" s="10"/>
      <c r="F173" s="10"/>
      <c r="G173" s="10"/>
      <c r="H173" s="10"/>
      <c r="I173" s="10"/>
    </row>
    <row r="174" customFormat="false" ht="15" hidden="false" customHeight="false" outlineLevel="0" collapsed="false">
      <c r="A174" s="10"/>
      <c r="B174" s="10"/>
      <c r="C174" s="10"/>
      <c r="D174" s="11"/>
      <c r="E174" s="10"/>
      <c r="F174" s="10"/>
      <c r="G174" s="10"/>
      <c r="H174" s="10"/>
      <c r="I174" s="10"/>
    </row>
    <row r="175" customFormat="false" ht="15" hidden="false" customHeight="false" outlineLevel="0" collapsed="false">
      <c r="A175" s="10"/>
      <c r="B175" s="10"/>
      <c r="C175" s="10"/>
      <c r="D175" s="11"/>
      <c r="E175" s="10"/>
      <c r="F175" s="10"/>
      <c r="G175" s="10"/>
      <c r="H175" s="10"/>
      <c r="I175" s="10"/>
    </row>
    <row r="176" customFormat="false" ht="15" hidden="false" customHeight="false" outlineLevel="0" collapsed="false">
      <c r="A176" s="10"/>
      <c r="B176" s="10"/>
      <c r="C176" s="10"/>
      <c r="D176" s="11"/>
      <c r="E176" s="10"/>
      <c r="F176" s="10"/>
      <c r="G176" s="10"/>
      <c r="H176" s="10"/>
      <c r="I176" s="10"/>
    </row>
    <row r="177" customFormat="false" ht="15" hidden="false" customHeight="false" outlineLevel="0" collapsed="false">
      <c r="A177" s="10"/>
      <c r="B177" s="10"/>
      <c r="C177" s="10"/>
      <c r="D177" s="11"/>
      <c r="E177" s="10"/>
      <c r="F177" s="10"/>
      <c r="G177" s="10"/>
      <c r="H177" s="10"/>
      <c r="I177" s="10"/>
    </row>
    <row r="178" customFormat="false" ht="15" hidden="false" customHeight="false" outlineLevel="0" collapsed="false">
      <c r="A178" s="10"/>
      <c r="B178" s="10"/>
      <c r="C178" s="10"/>
      <c r="D178" s="11"/>
      <c r="E178" s="10"/>
      <c r="F178" s="10"/>
      <c r="G178" s="10"/>
      <c r="H178" s="10"/>
      <c r="I178" s="10"/>
    </row>
    <row r="179" customFormat="false" ht="15" hidden="false" customHeight="false" outlineLevel="0" collapsed="false">
      <c r="A179" s="10"/>
      <c r="B179" s="10"/>
      <c r="C179" s="10"/>
      <c r="D179" s="11"/>
      <c r="E179" s="10"/>
      <c r="F179" s="10"/>
      <c r="G179" s="10"/>
      <c r="H179" s="10"/>
      <c r="I179" s="10"/>
    </row>
    <row r="180" customFormat="false" ht="15" hidden="false" customHeight="false" outlineLevel="0" collapsed="false">
      <c r="A180" s="10"/>
      <c r="B180" s="10"/>
      <c r="C180" s="10"/>
      <c r="D180" s="11"/>
      <c r="E180" s="10"/>
      <c r="F180" s="10"/>
      <c r="G180" s="10"/>
      <c r="H180" s="10"/>
      <c r="I180" s="10"/>
    </row>
    <row r="181" customFormat="false" ht="15" hidden="false" customHeight="false" outlineLevel="0" collapsed="false">
      <c r="A181" s="10"/>
      <c r="B181" s="10"/>
      <c r="C181" s="10"/>
      <c r="D181" s="11"/>
      <c r="E181" s="10"/>
      <c r="F181" s="10"/>
      <c r="G181" s="10"/>
      <c r="H181" s="10"/>
      <c r="I181" s="10"/>
    </row>
    <row r="182" customFormat="false" ht="15" hidden="false" customHeight="false" outlineLevel="0" collapsed="false">
      <c r="A182" s="10"/>
      <c r="B182" s="10"/>
      <c r="C182" s="10"/>
      <c r="D182" s="11"/>
      <c r="E182" s="10"/>
      <c r="F182" s="10"/>
      <c r="G182" s="10"/>
      <c r="H182" s="10"/>
      <c r="I182" s="10"/>
    </row>
    <row r="183" customFormat="false" ht="15" hidden="false" customHeight="false" outlineLevel="0" collapsed="false">
      <c r="A183" s="10"/>
      <c r="B183" s="10"/>
      <c r="C183" s="10"/>
      <c r="D183" s="11"/>
      <c r="E183" s="10"/>
      <c r="F183" s="10"/>
      <c r="G183" s="10"/>
      <c r="H183" s="10"/>
      <c r="I183" s="10"/>
    </row>
    <row r="184" customFormat="false" ht="15" hidden="false" customHeight="false" outlineLevel="0" collapsed="false">
      <c r="A184" s="10"/>
      <c r="B184" s="10"/>
      <c r="C184" s="10"/>
      <c r="D184" s="11"/>
      <c r="E184" s="10"/>
      <c r="F184" s="10"/>
      <c r="G184" s="10"/>
      <c r="H184" s="10"/>
      <c r="I184" s="10"/>
    </row>
    <row r="185" customFormat="false" ht="15" hidden="false" customHeight="false" outlineLevel="0" collapsed="false">
      <c r="A185" s="10"/>
      <c r="B185" s="10"/>
      <c r="C185" s="10"/>
      <c r="D185" s="11"/>
      <c r="E185" s="10"/>
      <c r="F185" s="10"/>
      <c r="G185" s="10"/>
      <c r="H185" s="10"/>
      <c r="I185" s="10"/>
    </row>
    <row r="186" customFormat="false" ht="15" hidden="false" customHeight="false" outlineLevel="0" collapsed="false">
      <c r="A186" s="10"/>
      <c r="B186" s="10"/>
      <c r="C186" s="10"/>
      <c r="D186" s="11"/>
      <c r="E186" s="10"/>
      <c r="F186" s="10"/>
      <c r="G186" s="10"/>
      <c r="H186" s="10"/>
      <c r="I186" s="10"/>
    </row>
    <row r="187" customFormat="false" ht="15" hidden="false" customHeight="false" outlineLevel="0" collapsed="false">
      <c r="A187" s="10"/>
      <c r="B187" s="10"/>
      <c r="C187" s="10"/>
      <c r="D187" s="11"/>
      <c r="E187" s="10"/>
      <c r="F187" s="10"/>
      <c r="G187" s="10"/>
      <c r="H187" s="10"/>
      <c r="I187" s="10"/>
    </row>
    <row r="188" customFormat="false" ht="15" hidden="false" customHeight="false" outlineLevel="0" collapsed="false">
      <c r="A188" s="10"/>
      <c r="B188" s="10"/>
      <c r="C188" s="10"/>
      <c r="D188" s="11"/>
      <c r="E188" s="10"/>
      <c r="F188" s="10"/>
      <c r="G188" s="10"/>
      <c r="H188" s="10"/>
      <c r="I188" s="10"/>
    </row>
    <row r="189" customFormat="false" ht="15" hidden="false" customHeight="false" outlineLevel="0" collapsed="false">
      <c r="A189" s="10"/>
      <c r="B189" s="10"/>
      <c r="C189" s="10"/>
      <c r="D189" s="11"/>
      <c r="E189" s="10"/>
      <c r="F189" s="10"/>
      <c r="G189" s="10"/>
      <c r="H189" s="10"/>
      <c r="I189" s="10"/>
    </row>
    <row r="190" customFormat="false" ht="15" hidden="false" customHeight="false" outlineLevel="0" collapsed="false">
      <c r="A190" s="10"/>
      <c r="B190" s="10"/>
      <c r="C190" s="10"/>
      <c r="D190" s="11"/>
      <c r="E190" s="10"/>
      <c r="F190" s="10"/>
      <c r="G190" s="10"/>
      <c r="H190" s="10"/>
      <c r="I190" s="10"/>
    </row>
    <row r="191" customFormat="false" ht="15" hidden="false" customHeight="false" outlineLevel="0" collapsed="false">
      <c r="A191" s="10"/>
      <c r="B191" s="10"/>
      <c r="C191" s="10"/>
      <c r="D191" s="11"/>
      <c r="E191" s="10"/>
      <c r="F191" s="10"/>
      <c r="G191" s="10"/>
      <c r="H191" s="10"/>
      <c r="I191" s="10"/>
    </row>
    <row r="192" customFormat="false" ht="15" hidden="false" customHeight="false" outlineLevel="0" collapsed="false">
      <c r="A192" s="10"/>
      <c r="B192" s="10"/>
      <c r="C192" s="10"/>
      <c r="D192" s="11"/>
      <c r="E192" s="10"/>
      <c r="F192" s="10"/>
      <c r="G192" s="10"/>
      <c r="H192" s="10"/>
      <c r="I192" s="10"/>
    </row>
    <row r="193" customFormat="false" ht="15" hidden="false" customHeight="false" outlineLevel="0" collapsed="false">
      <c r="A193" s="10"/>
      <c r="B193" s="10"/>
      <c r="C193" s="10"/>
      <c r="D193" s="11"/>
      <c r="E193" s="10"/>
      <c r="F193" s="10"/>
      <c r="G193" s="10"/>
      <c r="H193" s="10"/>
      <c r="I193" s="10"/>
    </row>
    <row r="194" customFormat="false" ht="15" hidden="false" customHeight="false" outlineLevel="0" collapsed="false">
      <c r="A194" s="10"/>
      <c r="B194" s="10"/>
      <c r="C194" s="10"/>
      <c r="D194" s="11"/>
      <c r="E194" s="10"/>
      <c r="F194" s="10"/>
      <c r="G194" s="10"/>
      <c r="H194" s="10"/>
      <c r="I194" s="10"/>
    </row>
    <row r="195" customFormat="false" ht="15" hidden="false" customHeight="false" outlineLevel="0" collapsed="false">
      <c r="A195" s="10"/>
      <c r="B195" s="10"/>
      <c r="C195" s="10"/>
      <c r="D195" s="11"/>
      <c r="E195" s="10"/>
      <c r="F195" s="10"/>
      <c r="G195" s="10"/>
      <c r="H195" s="10"/>
      <c r="I195" s="10"/>
    </row>
    <row r="196" customFormat="false" ht="15" hidden="false" customHeight="false" outlineLevel="0" collapsed="false">
      <c r="A196" s="10"/>
      <c r="B196" s="10"/>
      <c r="C196" s="10"/>
      <c r="D196" s="11"/>
      <c r="E196" s="10"/>
      <c r="F196" s="10"/>
      <c r="G196" s="10"/>
      <c r="H196" s="10"/>
      <c r="I196" s="10"/>
    </row>
    <row r="197" customFormat="false" ht="15" hidden="false" customHeight="false" outlineLevel="0" collapsed="false">
      <c r="A197" s="10"/>
      <c r="B197" s="10"/>
      <c r="C197" s="10"/>
      <c r="D197" s="11"/>
      <c r="E197" s="10"/>
      <c r="F197" s="10"/>
      <c r="G197" s="10"/>
      <c r="H197" s="10"/>
      <c r="I197" s="10"/>
    </row>
    <row r="198" customFormat="false" ht="15" hidden="false" customHeight="false" outlineLevel="0" collapsed="false">
      <c r="A198" s="10"/>
      <c r="B198" s="10"/>
      <c r="C198" s="10"/>
      <c r="D198" s="11"/>
      <c r="E198" s="10"/>
      <c r="F198" s="10"/>
      <c r="G198" s="10"/>
      <c r="H198" s="10"/>
      <c r="I198" s="10"/>
    </row>
    <row r="199" customFormat="false" ht="15" hidden="false" customHeight="false" outlineLevel="0" collapsed="false">
      <c r="A199" s="10"/>
      <c r="B199" s="10"/>
      <c r="C199" s="10"/>
      <c r="D199" s="11"/>
      <c r="E199" s="10"/>
      <c r="F199" s="10"/>
      <c r="G199" s="10"/>
      <c r="H199" s="10"/>
      <c r="I199" s="10"/>
    </row>
    <row r="200" customFormat="false" ht="15" hidden="false" customHeight="false" outlineLevel="0" collapsed="false">
      <c r="A200" s="10"/>
      <c r="B200" s="10"/>
      <c r="C200" s="10"/>
      <c r="D200" s="11"/>
      <c r="E200" s="10"/>
      <c r="F200" s="10"/>
      <c r="G200" s="10"/>
      <c r="H200" s="10"/>
      <c r="I200" s="10"/>
    </row>
    <row r="201" customFormat="false" ht="15" hidden="false" customHeight="false" outlineLevel="0" collapsed="false">
      <c r="A201" s="10"/>
      <c r="B201" s="10"/>
      <c r="C201" s="10"/>
      <c r="D201" s="11"/>
      <c r="E201" s="10"/>
      <c r="F201" s="10"/>
      <c r="G201" s="10"/>
      <c r="H201" s="10"/>
      <c r="I201" s="10"/>
    </row>
    <row r="202" customFormat="false" ht="15" hidden="false" customHeight="false" outlineLevel="0" collapsed="false">
      <c r="A202" s="10"/>
      <c r="B202" s="10"/>
      <c r="C202" s="10"/>
      <c r="D202" s="11"/>
      <c r="E202" s="10"/>
      <c r="F202" s="10"/>
      <c r="G202" s="10"/>
      <c r="H202" s="10"/>
      <c r="I202" s="10"/>
    </row>
    <row r="203" customFormat="false" ht="15" hidden="false" customHeight="false" outlineLevel="0" collapsed="false">
      <c r="A203" s="10"/>
      <c r="B203" s="10"/>
      <c r="C203" s="10"/>
      <c r="D203" s="11"/>
      <c r="E203" s="10"/>
      <c r="F203" s="10"/>
      <c r="G203" s="10"/>
      <c r="H203" s="10"/>
      <c r="I203" s="10"/>
    </row>
    <row r="204" customFormat="false" ht="15" hidden="false" customHeight="false" outlineLevel="0" collapsed="false">
      <c r="A204" s="10"/>
      <c r="B204" s="10"/>
      <c r="C204" s="10"/>
      <c r="D204" s="11"/>
      <c r="E204" s="10"/>
      <c r="F204" s="10"/>
      <c r="G204" s="10"/>
      <c r="H204" s="10"/>
      <c r="I204" s="10"/>
    </row>
    <row r="205" customFormat="false" ht="15" hidden="false" customHeight="false" outlineLevel="0" collapsed="false">
      <c r="A205" s="10"/>
      <c r="B205" s="10"/>
      <c r="C205" s="10"/>
      <c r="D205" s="11"/>
      <c r="E205" s="10"/>
      <c r="F205" s="10"/>
      <c r="G205" s="10"/>
      <c r="H205" s="10"/>
      <c r="I205" s="10"/>
    </row>
    <row r="206" customFormat="false" ht="15" hidden="false" customHeight="false" outlineLevel="0" collapsed="false">
      <c r="A206" s="10"/>
      <c r="B206" s="10"/>
      <c r="C206" s="10"/>
      <c r="D206" s="11"/>
      <c r="E206" s="10"/>
      <c r="F206" s="10"/>
      <c r="G206" s="10"/>
      <c r="H206" s="10"/>
      <c r="I206" s="10"/>
    </row>
    <row r="207" customFormat="false" ht="15" hidden="false" customHeight="false" outlineLevel="0" collapsed="false">
      <c r="A207" s="10"/>
      <c r="B207" s="10"/>
      <c r="C207" s="10"/>
      <c r="D207" s="11"/>
      <c r="E207" s="10"/>
      <c r="F207" s="10"/>
      <c r="G207" s="10"/>
      <c r="H207" s="10"/>
      <c r="I207" s="10"/>
    </row>
    <row r="208" customFormat="false" ht="15" hidden="false" customHeight="false" outlineLevel="0" collapsed="false">
      <c r="A208" s="10"/>
      <c r="B208" s="10"/>
      <c r="C208" s="10"/>
      <c r="D208" s="11"/>
      <c r="E208" s="10"/>
      <c r="F208" s="10"/>
      <c r="G208" s="10"/>
      <c r="H208" s="10"/>
      <c r="I208" s="10"/>
    </row>
    <row r="209" customFormat="false" ht="15" hidden="false" customHeight="false" outlineLevel="0" collapsed="false">
      <c r="A209" s="10"/>
      <c r="B209" s="10"/>
      <c r="C209" s="10"/>
      <c r="D209" s="11"/>
      <c r="E209" s="10"/>
      <c r="F209" s="10"/>
      <c r="G209" s="10"/>
      <c r="H209" s="10"/>
      <c r="I209" s="10"/>
    </row>
    <row r="210" customFormat="false" ht="15" hidden="false" customHeight="false" outlineLevel="0" collapsed="false">
      <c r="A210" s="10"/>
      <c r="B210" s="10"/>
      <c r="C210" s="10"/>
      <c r="D210" s="11"/>
      <c r="E210" s="10"/>
      <c r="F210" s="10"/>
      <c r="G210" s="10"/>
      <c r="H210" s="10"/>
      <c r="I210" s="10"/>
    </row>
    <row r="211" customFormat="false" ht="15" hidden="false" customHeight="false" outlineLevel="0" collapsed="false">
      <c r="A211" s="10"/>
      <c r="B211" s="10"/>
      <c r="C211" s="10"/>
      <c r="D211" s="11"/>
      <c r="E211" s="10"/>
      <c r="F211" s="10"/>
      <c r="G211" s="10"/>
      <c r="H211" s="10"/>
      <c r="I211" s="10"/>
    </row>
    <row r="212" customFormat="false" ht="15" hidden="false" customHeight="false" outlineLevel="0" collapsed="false">
      <c r="A212" s="10"/>
      <c r="B212" s="10"/>
      <c r="C212" s="10"/>
      <c r="D212" s="11"/>
      <c r="E212" s="10"/>
      <c r="F212" s="10"/>
      <c r="G212" s="10"/>
      <c r="H212" s="10"/>
      <c r="I212" s="10"/>
    </row>
    <row r="213" customFormat="false" ht="15" hidden="false" customHeight="false" outlineLevel="0" collapsed="false">
      <c r="A213" s="10"/>
      <c r="B213" s="10"/>
      <c r="C213" s="10"/>
      <c r="D213" s="11"/>
      <c r="E213" s="10"/>
      <c r="F213" s="10"/>
      <c r="G213" s="10"/>
      <c r="H213" s="10"/>
      <c r="I213" s="10"/>
    </row>
    <row r="214" customFormat="false" ht="15" hidden="false" customHeight="false" outlineLevel="0" collapsed="false">
      <c r="A214" s="10"/>
      <c r="B214" s="10"/>
      <c r="C214" s="10"/>
      <c r="D214" s="11"/>
      <c r="E214" s="10"/>
      <c r="F214" s="10"/>
      <c r="G214" s="10"/>
      <c r="H214" s="10"/>
      <c r="I214" s="10"/>
    </row>
    <row r="215" customFormat="false" ht="15" hidden="false" customHeight="false" outlineLevel="0" collapsed="false">
      <c r="A215" s="10"/>
      <c r="B215" s="10"/>
      <c r="C215" s="10"/>
      <c r="D215" s="11"/>
      <c r="E215" s="10"/>
      <c r="F215" s="10"/>
      <c r="G215" s="10"/>
      <c r="H215" s="10"/>
      <c r="I215" s="10"/>
    </row>
    <row r="216" customFormat="false" ht="15" hidden="false" customHeight="false" outlineLevel="0" collapsed="false">
      <c r="A216" s="10"/>
      <c r="B216" s="10"/>
      <c r="C216" s="10"/>
      <c r="D216" s="11"/>
      <c r="E216" s="10"/>
      <c r="F216" s="10"/>
      <c r="G216" s="10"/>
      <c r="H216" s="10"/>
      <c r="I216" s="10"/>
    </row>
    <row r="217" customFormat="false" ht="15" hidden="false" customHeight="false" outlineLevel="0" collapsed="false">
      <c r="A217" s="10"/>
      <c r="B217" s="10"/>
      <c r="C217" s="10"/>
      <c r="D217" s="11"/>
      <c r="E217" s="10"/>
      <c r="F217" s="10"/>
      <c r="G217" s="10"/>
      <c r="H217" s="10"/>
      <c r="I217" s="10"/>
    </row>
    <row r="218" customFormat="false" ht="15" hidden="false" customHeight="false" outlineLevel="0" collapsed="false">
      <c r="A218" s="10"/>
      <c r="B218" s="10"/>
      <c r="C218" s="10"/>
      <c r="D218" s="11"/>
      <c r="E218" s="10"/>
      <c r="F218" s="10"/>
      <c r="G218" s="10"/>
      <c r="H218" s="10"/>
      <c r="I218" s="10"/>
    </row>
    <row r="219" customFormat="false" ht="15" hidden="false" customHeight="false" outlineLevel="0" collapsed="false">
      <c r="A219" s="10"/>
      <c r="B219" s="10"/>
      <c r="C219" s="10"/>
      <c r="D219" s="11"/>
      <c r="E219" s="10"/>
      <c r="F219" s="10"/>
      <c r="G219" s="10"/>
      <c r="H219" s="10"/>
      <c r="I219" s="10"/>
    </row>
    <row r="220" customFormat="false" ht="15" hidden="false" customHeight="false" outlineLevel="0" collapsed="false">
      <c r="A220" s="10"/>
      <c r="B220" s="10"/>
      <c r="C220" s="10"/>
      <c r="D220" s="11"/>
      <c r="E220" s="10"/>
      <c r="F220" s="10"/>
      <c r="G220" s="10"/>
      <c r="H220" s="10"/>
      <c r="I220" s="10"/>
    </row>
    <row r="221" customFormat="false" ht="15" hidden="false" customHeight="false" outlineLevel="0" collapsed="false">
      <c r="A221" s="10"/>
      <c r="B221" s="10"/>
      <c r="C221" s="10"/>
      <c r="D221" s="11"/>
      <c r="E221" s="10"/>
      <c r="F221" s="10"/>
      <c r="G221" s="10"/>
      <c r="H221" s="10"/>
      <c r="I221" s="10"/>
    </row>
    <row r="222" customFormat="false" ht="15" hidden="false" customHeight="false" outlineLevel="0" collapsed="false">
      <c r="A222" s="10"/>
      <c r="B222" s="10"/>
      <c r="C222" s="10"/>
      <c r="D222" s="11"/>
      <c r="E222" s="10"/>
      <c r="F222" s="10"/>
      <c r="G222" s="10"/>
      <c r="H222" s="10"/>
      <c r="I222" s="10"/>
    </row>
    <row r="223" customFormat="false" ht="15" hidden="false" customHeight="false" outlineLevel="0" collapsed="false">
      <c r="A223" s="10"/>
      <c r="B223" s="10"/>
      <c r="C223" s="10"/>
      <c r="D223" s="11"/>
      <c r="E223" s="10"/>
      <c r="F223" s="10"/>
      <c r="G223" s="10"/>
      <c r="H223" s="10"/>
      <c r="I223" s="10"/>
    </row>
    <row r="224" customFormat="false" ht="15" hidden="false" customHeight="false" outlineLevel="0" collapsed="false">
      <c r="A224" s="10"/>
      <c r="B224" s="10"/>
      <c r="C224" s="10"/>
      <c r="D224" s="11"/>
      <c r="E224" s="10"/>
      <c r="F224" s="10"/>
      <c r="G224" s="10"/>
      <c r="H224" s="10"/>
      <c r="I224" s="10"/>
    </row>
    <row r="225" customFormat="false" ht="15" hidden="false" customHeight="false" outlineLevel="0" collapsed="false">
      <c r="A225" s="10"/>
      <c r="B225" s="10"/>
      <c r="C225" s="10"/>
      <c r="D225" s="11"/>
      <c r="E225" s="10"/>
      <c r="F225" s="10"/>
      <c r="G225" s="10"/>
      <c r="H225" s="10"/>
      <c r="I225" s="10"/>
    </row>
    <row r="226" customFormat="false" ht="15" hidden="false" customHeight="false" outlineLevel="0" collapsed="false">
      <c r="A226" s="10"/>
      <c r="B226" s="10"/>
      <c r="C226" s="10"/>
      <c r="D226" s="11"/>
      <c r="E226" s="10"/>
      <c r="F226" s="10"/>
      <c r="G226" s="10"/>
      <c r="H226" s="10"/>
      <c r="I226" s="10"/>
    </row>
    <row r="227" customFormat="false" ht="15" hidden="false" customHeight="false" outlineLevel="0" collapsed="false">
      <c r="A227" s="10"/>
      <c r="B227" s="10"/>
      <c r="C227" s="10"/>
      <c r="D227" s="11"/>
      <c r="E227" s="10"/>
      <c r="F227" s="10"/>
      <c r="G227" s="10"/>
      <c r="H227" s="10"/>
      <c r="I227" s="10"/>
    </row>
    <row r="228" customFormat="false" ht="15" hidden="false" customHeight="false" outlineLevel="0" collapsed="false">
      <c r="A228" s="10"/>
      <c r="B228" s="10"/>
      <c r="C228" s="10"/>
      <c r="D228" s="11"/>
      <c r="E228" s="10"/>
      <c r="F228" s="10"/>
      <c r="G228" s="10"/>
      <c r="H228" s="10"/>
      <c r="I228" s="10"/>
    </row>
    <row r="229" customFormat="false" ht="15" hidden="false" customHeight="false" outlineLevel="0" collapsed="false">
      <c r="A229" s="10"/>
      <c r="B229" s="10"/>
      <c r="C229" s="10"/>
      <c r="D229" s="11"/>
      <c r="E229" s="10"/>
      <c r="F229" s="10"/>
      <c r="G229" s="10"/>
      <c r="H229" s="10"/>
      <c r="I229" s="10"/>
    </row>
    <row r="230" customFormat="false" ht="15" hidden="false" customHeight="false" outlineLevel="0" collapsed="false">
      <c r="A230" s="10"/>
      <c r="B230" s="10"/>
      <c r="C230" s="10"/>
      <c r="D230" s="11"/>
      <c r="E230" s="10"/>
      <c r="F230" s="10"/>
      <c r="G230" s="10"/>
      <c r="H230" s="10"/>
      <c r="I230" s="10"/>
    </row>
    <row r="231" customFormat="false" ht="15" hidden="false" customHeight="false" outlineLevel="0" collapsed="false">
      <c r="A231" s="10"/>
      <c r="B231" s="10"/>
      <c r="C231" s="10"/>
      <c r="D231" s="11"/>
      <c r="E231" s="10"/>
      <c r="F231" s="10"/>
      <c r="G231" s="10"/>
      <c r="H231" s="10"/>
      <c r="I231" s="10"/>
    </row>
    <row r="232" customFormat="false" ht="15" hidden="false" customHeight="false" outlineLevel="0" collapsed="false">
      <c r="A232" s="10"/>
      <c r="B232" s="10"/>
      <c r="C232" s="10"/>
      <c r="D232" s="11"/>
      <c r="E232" s="10"/>
      <c r="F232" s="10"/>
      <c r="G232" s="10"/>
      <c r="H232" s="10"/>
      <c r="I232" s="10"/>
    </row>
    <row r="233" customFormat="false" ht="15" hidden="false" customHeight="false" outlineLevel="0" collapsed="false">
      <c r="A233" s="10"/>
      <c r="B233" s="10"/>
      <c r="C233" s="10"/>
      <c r="D233" s="11"/>
      <c r="E233" s="10"/>
      <c r="F233" s="10"/>
      <c r="G233" s="10"/>
      <c r="H233" s="10"/>
      <c r="I233" s="10"/>
    </row>
    <row r="234" customFormat="false" ht="15" hidden="false" customHeight="false" outlineLevel="0" collapsed="false">
      <c r="A234" s="10"/>
      <c r="B234" s="10"/>
      <c r="C234" s="10"/>
      <c r="D234" s="11"/>
      <c r="E234" s="10"/>
      <c r="F234" s="10"/>
      <c r="G234" s="10"/>
      <c r="H234" s="10"/>
      <c r="I234" s="10"/>
    </row>
    <row r="235" customFormat="false" ht="15" hidden="false" customHeight="false" outlineLevel="0" collapsed="false">
      <c r="A235" s="10"/>
      <c r="B235" s="10"/>
      <c r="C235" s="10"/>
      <c r="D235" s="11"/>
      <c r="E235" s="10"/>
      <c r="F235" s="10"/>
      <c r="G235" s="10"/>
      <c r="H235" s="10"/>
      <c r="I235" s="10"/>
    </row>
    <row r="236" customFormat="false" ht="15" hidden="false" customHeight="false" outlineLevel="0" collapsed="false">
      <c r="A236" s="10"/>
      <c r="B236" s="10"/>
      <c r="C236" s="10"/>
      <c r="D236" s="11"/>
      <c r="E236" s="10"/>
      <c r="F236" s="10"/>
      <c r="G236" s="10"/>
      <c r="H236" s="10"/>
      <c r="I236" s="10"/>
    </row>
    <row r="237" customFormat="false" ht="15" hidden="false" customHeight="false" outlineLevel="0" collapsed="false">
      <c r="A237" s="10"/>
      <c r="B237" s="10"/>
      <c r="C237" s="10"/>
      <c r="D237" s="11"/>
      <c r="E237" s="10"/>
      <c r="F237" s="10"/>
      <c r="G237" s="10"/>
      <c r="H237" s="10"/>
      <c r="I237" s="10"/>
    </row>
    <row r="238" customFormat="false" ht="15" hidden="false" customHeight="false" outlineLevel="0" collapsed="false">
      <c r="A238" s="10"/>
      <c r="B238" s="10"/>
      <c r="C238" s="10"/>
      <c r="D238" s="11"/>
      <c r="E238" s="10"/>
      <c r="F238" s="10"/>
      <c r="G238" s="10"/>
      <c r="H238" s="10"/>
      <c r="I238" s="10"/>
    </row>
    <row r="239" customFormat="false" ht="15" hidden="false" customHeight="false" outlineLevel="0" collapsed="false">
      <c r="A239" s="10"/>
      <c r="B239" s="10"/>
      <c r="C239" s="10"/>
      <c r="D239" s="11"/>
      <c r="E239" s="10"/>
      <c r="F239" s="10"/>
      <c r="G239" s="10"/>
      <c r="H239" s="10"/>
      <c r="I239" s="10"/>
    </row>
    <row r="240" customFormat="false" ht="15" hidden="false" customHeight="false" outlineLevel="0" collapsed="false">
      <c r="A240" s="10"/>
      <c r="B240" s="10"/>
      <c r="C240" s="10"/>
      <c r="D240" s="11"/>
      <c r="E240" s="10"/>
      <c r="F240" s="10"/>
      <c r="G240" s="10"/>
      <c r="H240" s="10"/>
      <c r="I240" s="10"/>
    </row>
    <row r="241" customFormat="false" ht="15" hidden="false" customHeight="false" outlineLevel="0" collapsed="false">
      <c r="A241" s="10"/>
      <c r="B241" s="10"/>
      <c r="C241" s="10"/>
      <c r="D241" s="11"/>
      <c r="E241" s="10"/>
      <c r="F241" s="10"/>
      <c r="G241" s="10"/>
      <c r="H241" s="10"/>
      <c r="I241" s="10"/>
    </row>
    <row r="242" customFormat="false" ht="15" hidden="false" customHeight="false" outlineLevel="0" collapsed="false">
      <c r="A242" s="10"/>
      <c r="B242" s="10"/>
      <c r="C242" s="10"/>
      <c r="D242" s="11"/>
      <c r="E242" s="10"/>
      <c r="F242" s="10"/>
      <c r="G242" s="10"/>
      <c r="H242" s="10"/>
      <c r="I242" s="10"/>
    </row>
    <row r="243" customFormat="false" ht="15" hidden="false" customHeight="false" outlineLevel="0" collapsed="false">
      <c r="A243" s="10"/>
      <c r="B243" s="10"/>
      <c r="C243" s="10"/>
      <c r="D243" s="11"/>
      <c r="E243" s="10"/>
      <c r="F243" s="10"/>
      <c r="G243" s="10"/>
      <c r="H243" s="10"/>
      <c r="I243" s="10"/>
    </row>
    <row r="244" customFormat="false" ht="15" hidden="false" customHeight="false" outlineLevel="0" collapsed="false">
      <c r="A244" s="10"/>
      <c r="B244" s="10"/>
      <c r="C244" s="10"/>
      <c r="D244" s="11"/>
      <c r="E244" s="10"/>
      <c r="F244" s="10"/>
      <c r="G244" s="10"/>
      <c r="H244" s="10"/>
      <c r="I244" s="10"/>
    </row>
    <row r="245" customFormat="false" ht="15" hidden="false" customHeight="false" outlineLevel="0" collapsed="false">
      <c r="A245" s="10"/>
      <c r="B245" s="10"/>
      <c r="C245" s="10"/>
      <c r="D245" s="11"/>
      <c r="E245" s="10"/>
      <c r="F245" s="10"/>
      <c r="G245" s="10"/>
      <c r="H245" s="10"/>
      <c r="I245" s="10"/>
    </row>
    <row r="246" customFormat="false" ht="15" hidden="false" customHeight="false" outlineLevel="0" collapsed="false">
      <c r="A246" s="10"/>
      <c r="B246" s="10"/>
      <c r="C246" s="10"/>
      <c r="D246" s="11"/>
      <c r="E246" s="10"/>
      <c r="F246" s="10"/>
      <c r="G246" s="10"/>
      <c r="H246" s="10"/>
      <c r="I246" s="10"/>
    </row>
    <row r="247" customFormat="false" ht="15" hidden="false" customHeight="false" outlineLevel="0" collapsed="false">
      <c r="A247" s="10"/>
      <c r="B247" s="10"/>
      <c r="C247" s="10"/>
      <c r="D247" s="11"/>
      <c r="E247" s="10"/>
      <c r="F247" s="10"/>
      <c r="G247" s="10"/>
      <c r="H247" s="10"/>
      <c r="I247" s="10"/>
    </row>
    <row r="248" customFormat="false" ht="15" hidden="false" customHeight="false" outlineLevel="0" collapsed="false">
      <c r="A248" s="10"/>
      <c r="B248" s="10"/>
      <c r="C248" s="10"/>
      <c r="D248" s="11"/>
      <c r="E248" s="10"/>
      <c r="F248" s="10"/>
      <c r="G248" s="10"/>
      <c r="H248" s="10"/>
      <c r="I248" s="10"/>
    </row>
    <row r="249" customFormat="false" ht="15" hidden="false" customHeight="false" outlineLevel="0" collapsed="false">
      <c r="A249" s="10"/>
      <c r="B249" s="10"/>
      <c r="C249" s="10"/>
      <c r="D249" s="11"/>
      <c r="E249" s="10"/>
      <c r="F249" s="10"/>
      <c r="G249" s="10"/>
      <c r="H249" s="10"/>
      <c r="I249" s="10"/>
    </row>
    <row r="250" customFormat="false" ht="15" hidden="false" customHeight="false" outlineLevel="0" collapsed="false">
      <c r="A250" s="10"/>
      <c r="B250" s="10"/>
      <c r="C250" s="10"/>
      <c r="D250" s="11"/>
      <c r="E250" s="10"/>
      <c r="F250" s="10"/>
      <c r="G250" s="10"/>
      <c r="H250" s="10"/>
      <c r="I250" s="10"/>
    </row>
    <row r="251" customFormat="false" ht="15" hidden="false" customHeight="false" outlineLevel="0" collapsed="false">
      <c r="A251" s="10"/>
      <c r="B251" s="10"/>
      <c r="C251" s="10"/>
      <c r="D251" s="11"/>
      <c r="E251" s="10"/>
      <c r="F251" s="10"/>
      <c r="G251" s="10"/>
      <c r="H251" s="10"/>
      <c r="I251" s="10"/>
    </row>
    <row r="252" customFormat="false" ht="15" hidden="false" customHeight="false" outlineLevel="0" collapsed="false">
      <c r="A252" s="10"/>
      <c r="B252" s="10"/>
      <c r="C252" s="10"/>
      <c r="D252" s="11"/>
      <c r="E252" s="10"/>
      <c r="F252" s="10"/>
      <c r="G252" s="10"/>
      <c r="H252" s="10"/>
      <c r="I252" s="10"/>
    </row>
    <row r="253" customFormat="false" ht="15" hidden="false" customHeight="false" outlineLevel="0" collapsed="false">
      <c r="A253" s="10"/>
      <c r="B253" s="10"/>
      <c r="C253" s="10"/>
      <c r="D253" s="11"/>
      <c r="E253" s="10"/>
      <c r="F253" s="10"/>
      <c r="G253" s="10"/>
      <c r="H253" s="10"/>
      <c r="I253" s="10"/>
    </row>
    <row r="254" customFormat="false" ht="15" hidden="false" customHeight="false" outlineLevel="0" collapsed="false">
      <c r="A254" s="10"/>
      <c r="B254" s="10"/>
      <c r="C254" s="10"/>
      <c r="D254" s="11"/>
      <c r="E254" s="10"/>
      <c r="F254" s="10"/>
      <c r="G254" s="10"/>
      <c r="H254" s="10"/>
      <c r="I254" s="10"/>
    </row>
    <row r="255" customFormat="false" ht="15" hidden="false" customHeight="false" outlineLevel="0" collapsed="false">
      <c r="A255" s="10"/>
      <c r="B255" s="10"/>
      <c r="C255" s="10"/>
      <c r="D255" s="11"/>
      <c r="E255" s="10"/>
      <c r="F255" s="10"/>
      <c r="G255" s="10"/>
      <c r="H255" s="10"/>
      <c r="I255" s="10"/>
    </row>
    <row r="256" customFormat="false" ht="15" hidden="false" customHeight="false" outlineLevel="0" collapsed="false">
      <c r="A256" s="10"/>
      <c r="B256" s="10"/>
      <c r="C256" s="10"/>
      <c r="D256" s="11"/>
      <c r="E256" s="10"/>
      <c r="F256" s="10"/>
      <c r="G256" s="10"/>
      <c r="H256" s="10"/>
      <c r="I256" s="10"/>
    </row>
    <row r="257" customFormat="false" ht="15" hidden="false" customHeight="false" outlineLevel="0" collapsed="false">
      <c r="A257" s="10"/>
      <c r="B257" s="10"/>
      <c r="C257" s="10"/>
      <c r="D257" s="11"/>
      <c r="E257" s="10"/>
      <c r="F257" s="10"/>
      <c r="G257" s="10"/>
      <c r="H257" s="10"/>
      <c r="I257" s="10"/>
    </row>
    <row r="258" customFormat="false" ht="15" hidden="false" customHeight="false" outlineLevel="0" collapsed="false">
      <c r="A258" s="10"/>
      <c r="B258" s="10"/>
      <c r="C258" s="10"/>
      <c r="D258" s="11"/>
      <c r="E258" s="10"/>
      <c r="F258" s="10"/>
      <c r="G258" s="10"/>
      <c r="H258" s="10"/>
      <c r="I258" s="10"/>
    </row>
    <row r="259" customFormat="false" ht="15" hidden="false" customHeight="false" outlineLevel="0" collapsed="false">
      <c r="A259" s="10"/>
      <c r="B259" s="10"/>
      <c r="C259" s="10"/>
      <c r="D259" s="11"/>
      <c r="E259" s="10"/>
      <c r="F259" s="10"/>
      <c r="G259" s="10"/>
      <c r="H259" s="10"/>
      <c r="I259" s="10"/>
    </row>
    <row r="260" customFormat="false" ht="15" hidden="false" customHeight="false" outlineLevel="0" collapsed="false">
      <c r="A260" s="10"/>
      <c r="B260" s="10"/>
      <c r="C260" s="10"/>
      <c r="D260" s="11"/>
      <c r="E260" s="10"/>
      <c r="F260" s="10"/>
      <c r="G260" s="10"/>
      <c r="H260" s="10"/>
      <c r="I260" s="10"/>
    </row>
    <row r="261" customFormat="false" ht="15" hidden="false" customHeight="false" outlineLevel="0" collapsed="false">
      <c r="A261" s="10"/>
      <c r="B261" s="10"/>
      <c r="C261" s="10"/>
      <c r="D261" s="11"/>
      <c r="E261" s="10"/>
      <c r="F261" s="10"/>
      <c r="G261" s="10"/>
      <c r="H261" s="10"/>
      <c r="I261" s="10"/>
    </row>
    <row r="262" customFormat="false" ht="15" hidden="false" customHeight="false" outlineLevel="0" collapsed="false">
      <c r="A262" s="10"/>
      <c r="B262" s="10"/>
      <c r="C262" s="10"/>
      <c r="D262" s="11"/>
      <c r="E262" s="10"/>
      <c r="F262" s="10"/>
      <c r="G262" s="10"/>
      <c r="H262" s="10"/>
      <c r="I262" s="10"/>
    </row>
    <row r="263" customFormat="false" ht="15" hidden="false" customHeight="false" outlineLevel="0" collapsed="false">
      <c r="A263" s="10"/>
      <c r="B263" s="10"/>
      <c r="C263" s="10"/>
      <c r="D263" s="11"/>
      <c r="E263" s="10"/>
      <c r="F263" s="10"/>
      <c r="G263" s="10"/>
      <c r="H263" s="10"/>
      <c r="I263" s="10"/>
    </row>
    <row r="264" customFormat="false" ht="15" hidden="false" customHeight="false" outlineLevel="0" collapsed="false">
      <c r="A264" s="10"/>
      <c r="B264" s="10"/>
      <c r="C264" s="10"/>
      <c r="D264" s="11"/>
      <c r="E264" s="10"/>
      <c r="F264" s="10"/>
      <c r="G264" s="10"/>
      <c r="H264" s="10"/>
      <c r="I264" s="10"/>
    </row>
    <row r="265" customFormat="false" ht="15" hidden="false" customHeight="false" outlineLevel="0" collapsed="false">
      <c r="A265" s="10"/>
      <c r="B265" s="10"/>
      <c r="C265" s="10"/>
      <c r="D265" s="11"/>
      <c r="E265" s="10"/>
      <c r="F265" s="10"/>
      <c r="G265" s="10"/>
      <c r="H265" s="10"/>
      <c r="I265" s="10"/>
    </row>
    <row r="266" customFormat="false" ht="15" hidden="false" customHeight="false" outlineLevel="0" collapsed="false">
      <c r="A266" s="10"/>
      <c r="B266" s="10"/>
      <c r="C266" s="10"/>
      <c r="D266" s="11"/>
      <c r="E266" s="10"/>
      <c r="F266" s="10"/>
      <c r="G266" s="10"/>
      <c r="H266" s="10"/>
      <c r="I266" s="10"/>
    </row>
    <row r="267" customFormat="false" ht="15" hidden="false" customHeight="false" outlineLevel="0" collapsed="false">
      <c r="A267" s="10"/>
      <c r="B267" s="10"/>
      <c r="C267" s="10"/>
      <c r="D267" s="11"/>
      <c r="E267" s="10"/>
      <c r="F267" s="10"/>
      <c r="G267" s="10"/>
      <c r="H267" s="10"/>
      <c r="I267" s="10"/>
    </row>
    <row r="268" customFormat="false" ht="15" hidden="false" customHeight="false" outlineLevel="0" collapsed="false">
      <c r="A268" s="10"/>
      <c r="B268" s="10"/>
      <c r="C268" s="10"/>
      <c r="D268" s="11"/>
      <c r="E268" s="10"/>
      <c r="F268" s="10"/>
      <c r="G268" s="10"/>
      <c r="H268" s="10"/>
      <c r="I268" s="10"/>
    </row>
    <row r="269" customFormat="false" ht="15" hidden="false" customHeight="false" outlineLevel="0" collapsed="false">
      <c r="A269" s="10"/>
      <c r="B269" s="10"/>
      <c r="C269" s="10"/>
      <c r="D269" s="11"/>
      <c r="E269" s="10"/>
      <c r="F269" s="10"/>
      <c r="G269" s="10"/>
      <c r="H269" s="10"/>
      <c r="I269" s="10"/>
    </row>
    <row r="270" customFormat="false" ht="15" hidden="false" customHeight="false" outlineLevel="0" collapsed="false">
      <c r="A270" s="10"/>
      <c r="B270" s="10"/>
      <c r="C270" s="10"/>
      <c r="D270" s="11"/>
      <c r="E270" s="10"/>
      <c r="F270" s="10"/>
      <c r="G270" s="10"/>
      <c r="H270" s="10"/>
      <c r="I270" s="10"/>
    </row>
    <row r="271" customFormat="false" ht="15" hidden="false" customHeight="false" outlineLevel="0" collapsed="false">
      <c r="A271" s="10"/>
      <c r="B271" s="10"/>
      <c r="C271" s="10"/>
      <c r="D271" s="11"/>
      <c r="E271" s="10"/>
      <c r="F271" s="10"/>
      <c r="G271" s="10"/>
      <c r="H271" s="10"/>
      <c r="I271" s="10"/>
    </row>
    <row r="272" customFormat="false" ht="15" hidden="false" customHeight="false" outlineLevel="0" collapsed="false">
      <c r="A272" s="10"/>
      <c r="B272" s="10"/>
      <c r="C272" s="10"/>
      <c r="D272" s="11"/>
      <c r="E272" s="10"/>
      <c r="F272" s="10"/>
      <c r="G272" s="10"/>
      <c r="H272" s="10"/>
      <c r="I272" s="10"/>
    </row>
    <row r="273" customFormat="false" ht="15" hidden="false" customHeight="false" outlineLevel="0" collapsed="false">
      <c r="A273" s="10"/>
      <c r="B273" s="10"/>
      <c r="C273" s="10"/>
      <c r="D273" s="11"/>
      <c r="E273" s="10"/>
      <c r="F273" s="10"/>
      <c r="G273" s="10"/>
      <c r="H273" s="10"/>
      <c r="I273" s="10"/>
    </row>
    <row r="274" customFormat="false" ht="15" hidden="false" customHeight="false" outlineLevel="0" collapsed="false">
      <c r="A274" s="10"/>
      <c r="B274" s="10"/>
      <c r="C274" s="10"/>
      <c r="D274" s="11"/>
      <c r="E274" s="10"/>
      <c r="F274" s="10"/>
      <c r="G274" s="10"/>
      <c r="H274" s="10"/>
      <c r="I274" s="10"/>
    </row>
    <row r="275" customFormat="false" ht="15" hidden="false" customHeight="false" outlineLevel="0" collapsed="false">
      <c r="A275" s="10"/>
      <c r="B275" s="10"/>
      <c r="C275" s="10"/>
      <c r="D275" s="11"/>
      <c r="E275" s="10"/>
      <c r="F275" s="10"/>
      <c r="G275" s="10"/>
      <c r="H275" s="10"/>
      <c r="I275" s="10"/>
    </row>
    <row r="276" customFormat="false" ht="15" hidden="false" customHeight="false" outlineLevel="0" collapsed="false">
      <c r="A276" s="10"/>
      <c r="B276" s="10"/>
      <c r="C276" s="10"/>
      <c r="D276" s="11"/>
      <c r="E276" s="10"/>
      <c r="F276" s="10"/>
      <c r="G276" s="10"/>
      <c r="H276" s="10"/>
      <c r="I276" s="10"/>
    </row>
    <row r="277" customFormat="false" ht="15" hidden="false" customHeight="false" outlineLevel="0" collapsed="false">
      <c r="A277" s="10"/>
      <c r="B277" s="10"/>
      <c r="C277" s="10"/>
      <c r="D277" s="11"/>
      <c r="E277" s="10"/>
      <c r="F277" s="10"/>
      <c r="G277" s="10"/>
      <c r="H277" s="10"/>
      <c r="I277" s="10"/>
    </row>
    <row r="278" customFormat="false" ht="15" hidden="false" customHeight="false" outlineLevel="0" collapsed="false">
      <c r="A278" s="10"/>
      <c r="B278" s="10"/>
      <c r="C278" s="10"/>
      <c r="D278" s="11"/>
      <c r="E278" s="10"/>
      <c r="F278" s="10"/>
      <c r="G278" s="10"/>
      <c r="H278" s="10"/>
      <c r="I278" s="10"/>
    </row>
    <row r="279" customFormat="false" ht="15" hidden="false" customHeight="false" outlineLevel="0" collapsed="false">
      <c r="A279" s="10"/>
      <c r="B279" s="10"/>
      <c r="C279" s="10"/>
      <c r="D279" s="11"/>
      <c r="E279" s="10"/>
      <c r="F279" s="10"/>
      <c r="G279" s="10"/>
      <c r="H279" s="10"/>
      <c r="I279" s="10"/>
    </row>
    <row r="280" customFormat="false" ht="15" hidden="false" customHeight="false" outlineLevel="0" collapsed="false">
      <c r="A280" s="10"/>
      <c r="B280" s="10"/>
      <c r="C280" s="10"/>
      <c r="D280" s="11"/>
      <c r="E280" s="10"/>
      <c r="F280" s="10"/>
      <c r="G280" s="10"/>
      <c r="H280" s="10"/>
      <c r="I280" s="10"/>
    </row>
    <row r="281" customFormat="false" ht="15" hidden="false" customHeight="false" outlineLevel="0" collapsed="false">
      <c r="A281" s="10"/>
      <c r="B281" s="10"/>
      <c r="C281" s="10"/>
      <c r="D281" s="11"/>
      <c r="E281" s="10"/>
      <c r="F281" s="10"/>
      <c r="G281" s="10"/>
      <c r="H281" s="10"/>
      <c r="I281" s="10"/>
    </row>
    <row r="282" customFormat="false" ht="15" hidden="false" customHeight="false" outlineLevel="0" collapsed="false">
      <c r="A282" s="10"/>
      <c r="B282" s="10"/>
      <c r="C282" s="10"/>
      <c r="D282" s="11"/>
      <c r="E282" s="10"/>
      <c r="F282" s="10"/>
      <c r="G282" s="10"/>
      <c r="H282" s="10"/>
      <c r="I282" s="10"/>
    </row>
    <row r="283" customFormat="false" ht="15" hidden="false" customHeight="false" outlineLevel="0" collapsed="false">
      <c r="A283" s="10"/>
      <c r="B283" s="10"/>
      <c r="C283" s="10"/>
      <c r="D283" s="11"/>
      <c r="E283" s="10"/>
      <c r="F283" s="10"/>
      <c r="G283" s="10"/>
      <c r="H283" s="10"/>
      <c r="I283" s="10"/>
    </row>
    <row r="284" customFormat="false" ht="15" hidden="false" customHeight="false" outlineLevel="0" collapsed="false">
      <c r="A284" s="10"/>
      <c r="B284" s="10"/>
      <c r="C284" s="10"/>
      <c r="D284" s="11"/>
      <c r="E284" s="10"/>
      <c r="F284" s="10"/>
      <c r="G284" s="10"/>
      <c r="H284" s="10"/>
      <c r="I284" s="10"/>
    </row>
    <row r="285" customFormat="false" ht="15" hidden="false" customHeight="false" outlineLevel="0" collapsed="false">
      <c r="A285" s="10"/>
      <c r="B285" s="10"/>
      <c r="C285" s="10"/>
      <c r="D285" s="11"/>
      <c r="E285" s="10"/>
      <c r="F285" s="10"/>
      <c r="G285" s="10"/>
      <c r="H285" s="10"/>
      <c r="I285" s="10"/>
    </row>
    <row r="286" customFormat="false" ht="15" hidden="false" customHeight="false" outlineLevel="0" collapsed="false">
      <c r="A286" s="10"/>
      <c r="B286" s="10"/>
      <c r="C286" s="10"/>
      <c r="D286" s="11"/>
      <c r="E286" s="10"/>
      <c r="F286" s="10"/>
      <c r="G286" s="10"/>
      <c r="H286" s="10"/>
      <c r="I286" s="10"/>
    </row>
    <row r="287" customFormat="false" ht="15" hidden="false" customHeight="false" outlineLevel="0" collapsed="false">
      <c r="A287" s="10"/>
      <c r="B287" s="10"/>
      <c r="C287" s="10"/>
      <c r="D287" s="11"/>
      <c r="E287" s="10"/>
      <c r="F287" s="10"/>
      <c r="G287" s="10"/>
      <c r="H287" s="10"/>
      <c r="I287" s="10"/>
    </row>
    <row r="288" customFormat="false" ht="15" hidden="false" customHeight="false" outlineLevel="0" collapsed="false">
      <c r="A288" s="10"/>
      <c r="B288" s="10"/>
      <c r="C288" s="10"/>
      <c r="D288" s="11"/>
      <c r="E288" s="10"/>
      <c r="F288" s="10"/>
      <c r="G288" s="10"/>
      <c r="H288" s="10"/>
      <c r="I288" s="10"/>
    </row>
    <row r="289" customFormat="false" ht="15" hidden="false" customHeight="false" outlineLevel="0" collapsed="false">
      <c r="A289" s="10"/>
      <c r="B289" s="10"/>
      <c r="C289" s="10"/>
      <c r="D289" s="11"/>
      <c r="E289" s="10"/>
      <c r="F289" s="10"/>
      <c r="G289" s="10"/>
      <c r="H289" s="10"/>
      <c r="I289" s="10"/>
    </row>
    <row r="290" customFormat="false" ht="15" hidden="false" customHeight="false" outlineLevel="0" collapsed="false">
      <c r="A290" s="10"/>
      <c r="B290" s="10"/>
      <c r="C290" s="10"/>
      <c r="D290" s="11"/>
      <c r="E290" s="10"/>
      <c r="F290" s="10"/>
      <c r="G290" s="10"/>
      <c r="H290" s="10"/>
      <c r="I290" s="10"/>
    </row>
    <row r="291" customFormat="false" ht="15" hidden="false" customHeight="false" outlineLevel="0" collapsed="false">
      <c r="A291" s="10"/>
      <c r="B291" s="10"/>
      <c r="C291" s="10"/>
      <c r="D291" s="11"/>
      <c r="E291" s="10"/>
      <c r="F291" s="10"/>
      <c r="G291" s="10"/>
      <c r="H291" s="10"/>
      <c r="I291" s="10"/>
    </row>
    <row r="292" customFormat="false" ht="15" hidden="false" customHeight="false" outlineLevel="0" collapsed="false">
      <c r="A292" s="10"/>
      <c r="B292" s="10"/>
      <c r="C292" s="10"/>
      <c r="D292" s="11"/>
      <c r="E292" s="10"/>
      <c r="F292" s="10"/>
      <c r="G292" s="10"/>
      <c r="H292" s="10"/>
      <c r="I292" s="10"/>
    </row>
    <row r="293" customFormat="false" ht="15" hidden="false" customHeight="false" outlineLevel="0" collapsed="false">
      <c r="A293" s="10"/>
      <c r="B293" s="10"/>
      <c r="C293" s="10"/>
      <c r="D293" s="11"/>
      <c r="E293" s="10"/>
      <c r="F293" s="10"/>
      <c r="G293" s="10"/>
      <c r="H293" s="10"/>
      <c r="I293" s="10"/>
    </row>
    <row r="294" customFormat="false" ht="15" hidden="false" customHeight="false" outlineLevel="0" collapsed="false">
      <c r="A294" s="10"/>
      <c r="B294" s="10"/>
      <c r="C294" s="10"/>
      <c r="D294" s="11"/>
      <c r="E294" s="10"/>
      <c r="F294" s="10"/>
      <c r="G294" s="10"/>
      <c r="H294" s="10"/>
      <c r="I294" s="10"/>
    </row>
    <row r="295" customFormat="false" ht="15" hidden="false" customHeight="false" outlineLevel="0" collapsed="false">
      <c r="A295" s="10"/>
      <c r="B295" s="10"/>
      <c r="C295" s="10"/>
      <c r="D295" s="11"/>
      <c r="E295" s="10"/>
      <c r="F295" s="10"/>
      <c r="G295" s="10"/>
      <c r="H295" s="10"/>
      <c r="I295" s="10"/>
    </row>
    <row r="296" customFormat="false" ht="15" hidden="false" customHeight="false" outlineLevel="0" collapsed="false">
      <c r="A296" s="10"/>
      <c r="B296" s="10"/>
      <c r="C296" s="10"/>
      <c r="D296" s="11"/>
      <c r="E296" s="10"/>
      <c r="F296" s="10"/>
      <c r="G296" s="10"/>
      <c r="H296" s="10"/>
      <c r="I296" s="10"/>
    </row>
    <row r="297" customFormat="false" ht="15" hidden="false" customHeight="false" outlineLevel="0" collapsed="false">
      <c r="A297" s="10"/>
      <c r="B297" s="10"/>
      <c r="C297" s="10"/>
      <c r="D297" s="11"/>
      <c r="E297" s="10"/>
      <c r="F297" s="10"/>
      <c r="G297" s="10"/>
      <c r="H297" s="10"/>
      <c r="I297" s="10"/>
    </row>
    <row r="298" customFormat="false" ht="15" hidden="false" customHeight="false" outlineLevel="0" collapsed="false">
      <c r="A298" s="10"/>
      <c r="B298" s="10"/>
      <c r="C298" s="10"/>
      <c r="D298" s="11"/>
      <c r="E298" s="10"/>
      <c r="F298" s="10"/>
      <c r="G298" s="10"/>
      <c r="H298" s="10"/>
      <c r="I298" s="10"/>
    </row>
    <row r="299" customFormat="false" ht="15" hidden="false" customHeight="false" outlineLevel="0" collapsed="false">
      <c r="A299" s="10"/>
      <c r="B299" s="10"/>
      <c r="C299" s="10"/>
      <c r="D299" s="11"/>
      <c r="E299" s="10"/>
      <c r="F299" s="10"/>
      <c r="G299" s="10"/>
      <c r="H299" s="10"/>
      <c r="I299" s="10"/>
    </row>
    <row r="300" customFormat="false" ht="15" hidden="false" customHeight="false" outlineLevel="0" collapsed="false">
      <c r="A300" s="10"/>
      <c r="B300" s="10"/>
      <c r="C300" s="10"/>
      <c r="D300" s="11"/>
      <c r="E300" s="10"/>
      <c r="F300" s="10"/>
      <c r="G300" s="10"/>
      <c r="H300" s="10"/>
      <c r="I300" s="10"/>
    </row>
    <row r="301" customFormat="false" ht="15" hidden="false" customHeight="false" outlineLevel="0" collapsed="false">
      <c r="A301" s="10"/>
      <c r="B301" s="10"/>
      <c r="C301" s="10"/>
      <c r="D301" s="11"/>
      <c r="E301" s="10"/>
      <c r="F301" s="10"/>
      <c r="G301" s="10"/>
      <c r="H301" s="10"/>
      <c r="I301" s="10"/>
    </row>
    <row r="302" customFormat="false" ht="15" hidden="false" customHeight="false" outlineLevel="0" collapsed="false">
      <c r="A302" s="10"/>
      <c r="B302" s="10"/>
      <c r="C302" s="10"/>
      <c r="D302" s="11"/>
      <c r="E302" s="10"/>
      <c r="F302" s="10"/>
      <c r="G302" s="10"/>
      <c r="H302" s="10"/>
      <c r="I302" s="10"/>
    </row>
    <row r="303" customFormat="false" ht="15" hidden="false" customHeight="false" outlineLevel="0" collapsed="false">
      <c r="A303" s="10"/>
      <c r="B303" s="10"/>
      <c r="C303" s="10"/>
      <c r="D303" s="11"/>
      <c r="E303" s="10"/>
      <c r="F303" s="10"/>
      <c r="G303" s="10"/>
      <c r="H303" s="10"/>
      <c r="I303" s="10"/>
    </row>
    <row r="304" customFormat="false" ht="15" hidden="false" customHeight="false" outlineLevel="0" collapsed="false">
      <c r="A304" s="10"/>
      <c r="B304" s="10"/>
      <c r="C304" s="10"/>
      <c r="D304" s="11"/>
      <c r="E304" s="10"/>
      <c r="F304" s="10"/>
      <c r="G304" s="10"/>
      <c r="H304" s="10"/>
      <c r="I304" s="10"/>
    </row>
    <row r="305" customFormat="false" ht="15" hidden="false" customHeight="false" outlineLevel="0" collapsed="false">
      <c r="A305" s="10"/>
      <c r="B305" s="10"/>
      <c r="C305" s="10"/>
      <c r="D305" s="11"/>
      <c r="E305" s="10"/>
      <c r="F305" s="10"/>
      <c r="G305" s="10"/>
      <c r="H305" s="10"/>
      <c r="I305" s="10"/>
    </row>
    <row r="306" customFormat="false" ht="15" hidden="false" customHeight="false" outlineLevel="0" collapsed="false">
      <c r="A306" s="10"/>
      <c r="B306" s="10"/>
      <c r="C306" s="10"/>
      <c r="D306" s="11"/>
      <c r="E306" s="10"/>
      <c r="F306" s="10"/>
      <c r="G306" s="10"/>
      <c r="H306" s="10"/>
      <c r="I306" s="10"/>
    </row>
    <row r="307" customFormat="false" ht="15" hidden="false" customHeight="false" outlineLevel="0" collapsed="false">
      <c r="A307" s="10"/>
      <c r="B307" s="10"/>
      <c r="C307" s="10"/>
      <c r="D307" s="11"/>
      <c r="E307" s="10"/>
      <c r="F307" s="10"/>
      <c r="G307" s="10"/>
      <c r="H307" s="10"/>
      <c r="I307" s="10"/>
    </row>
    <row r="308" customFormat="false" ht="15" hidden="false" customHeight="false" outlineLevel="0" collapsed="false">
      <c r="A308" s="10"/>
      <c r="B308" s="10"/>
      <c r="C308" s="10"/>
      <c r="D308" s="11"/>
      <c r="E308" s="10"/>
      <c r="F308" s="10"/>
      <c r="G308" s="10"/>
      <c r="H308" s="10"/>
      <c r="I308" s="10"/>
    </row>
    <row r="309" customFormat="false" ht="15" hidden="false" customHeight="false" outlineLevel="0" collapsed="false">
      <c r="A309" s="10"/>
      <c r="B309" s="10"/>
      <c r="C309" s="10"/>
      <c r="D309" s="11"/>
      <c r="E309" s="10"/>
      <c r="F309" s="10"/>
      <c r="G309" s="10"/>
      <c r="H309" s="10"/>
      <c r="I309" s="10"/>
    </row>
    <row r="310" customFormat="false" ht="15" hidden="false" customHeight="false" outlineLevel="0" collapsed="false">
      <c r="A310" s="10"/>
      <c r="B310" s="10"/>
      <c r="C310" s="10"/>
      <c r="D310" s="11"/>
      <c r="E310" s="10"/>
      <c r="F310" s="10"/>
      <c r="G310" s="10"/>
      <c r="H310" s="10"/>
      <c r="I310" s="10"/>
    </row>
    <row r="311" customFormat="false" ht="15" hidden="false" customHeight="false" outlineLevel="0" collapsed="false">
      <c r="A311" s="10"/>
      <c r="B311" s="10"/>
      <c r="C311" s="10"/>
      <c r="D311" s="11"/>
      <c r="E311" s="10"/>
      <c r="F311" s="10"/>
      <c r="G311" s="10"/>
      <c r="H311" s="10"/>
      <c r="I311" s="10"/>
    </row>
    <row r="312" customFormat="false" ht="15" hidden="false" customHeight="false" outlineLevel="0" collapsed="false">
      <c r="A312" s="10"/>
      <c r="B312" s="10"/>
      <c r="C312" s="10"/>
      <c r="D312" s="11"/>
      <c r="E312" s="10"/>
      <c r="F312" s="10"/>
      <c r="G312" s="10"/>
      <c r="H312" s="10"/>
      <c r="I312" s="10"/>
    </row>
    <row r="313" customFormat="false" ht="15" hidden="false" customHeight="false" outlineLevel="0" collapsed="false">
      <c r="A313" s="10"/>
      <c r="B313" s="10"/>
      <c r="C313" s="10"/>
      <c r="D313" s="11"/>
      <c r="E313" s="10"/>
      <c r="F313" s="10"/>
      <c r="G313" s="10"/>
      <c r="H313" s="10"/>
      <c r="I313" s="10"/>
    </row>
    <row r="314" customFormat="false" ht="15" hidden="false" customHeight="false" outlineLevel="0" collapsed="false">
      <c r="A314" s="10"/>
      <c r="B314" s="10"/>
      <c r="C314" s="10"/>
      <c r="D314" s="11"/>
      <c r="E314" s="10"/>
      <c r="F314" s="10"/>
      <c r="G314" s="10"/>
      <c r="H314" s="10"/>
      <c r="I314" s="10"/>
    </row>
    <row r="315" customFormat="false" ht="15" hidden="false" customHeight="false" outlineLevel="0" collapsed="false">
      <c r="A315" s="10"/>
      <c r="B315" s="10"/>
      <c r="C315" s="10"/>
      <c r="D315" s="11"/>
      <c r="E315" s="10"/>
      <c r="F315" s="10"/>
      <c r="G315" s="10"/>
      <c r="H315" s="10"/>
      <c r="I315" s="10"/>
    </row>
    <row r="316" customFormat="false" ht="15" hidden="false" customHeight="false" outlineLevel="0" collapsed="false">
      <c r="A316" s="10"/>
      <c r="B316" s="10"/>
      <c r="C316" s="10"/>
      <c r="D316" s="11"/>
      <c r="E316" s="10"/>
      <c r="F316" s="10"/>
      <c r="G316" s="10"/>
      <c r="H316" s="10"/>
      <c r="I316" s="10"/>
    </row>
    <row r="317" customFormat="false" ht="15" hidden="false" customHeight="false" outlineLevel="0" collapsed="false">
      <c r="A317" s="10"/>
      <c r="B317" s="10"/>
      <c r="C317" s="10"/>
      <c r="D317" s="11"/>
      <c r="E317" s="10"/>
      <c r="F317" s="10"/>
      <c r="G317" s="10"/>
      <c r="H317" s="10"/>
      <c r="I317" s="10"/>
    </row>
    <row r="318" customFormat="false" ht="15" hidden="false" customHeight="false" outlineLevel="0" collapsed="false">
      <c r="A318" s="10"/>
      <c r="B318" s="10"/>
      <c r="C318" s="10"/>
      <c r="D318" s="11"/>
      <c r="E318" s="10"/>
      <c r="F318" s="10"/>
      <c r="G318" s="10"/>
      <c r="H318" s="10"/>
      <c r="I318" s="10"/>
    </row>
    <row r="319" customFormat="false" ht="15" hidden="false" customHeight="false" outlineLevel="0" collapsed="false">
      <c r="A319" s="10"/>
      <c r="B319" s="10"/>
      <c r="C319" s="10"/>
      <c r="D319" s="11"/>
      <c r="E319" s="10"/>
      <c r="F319" s="10"/>
      <c r="G319" s="10"/>
      <c r="H319" s="10"/>
      <c r="I319" s="10"/>
    </row>
    <row r="320" customFormat="false" ht="15" hidden="false" customHeight="false" outlineLevel="0" collapsed="false">
      <c r="A320" s="10"/>
      <c r="B320" s="10"/>
      <c r="C320" s="10"/>
      <c r="D320" s="11"/>
      <c r="E320" s="10"/>
      <c r="F320" s="10"/>
      <c r="G320" s="10"/>
      <c r="H320" s="10"/>
      <c r="I320" s="10"/>
    </row>
    <row r="321" customFormat="false" ht="15" hidden="false" customHeight="false" outlineLevel="0" collapsed="false">
      <c r="A321" s="10"/>
      <c r="B321" s="10"/>
      <c r="C321" s="10"/>
      <c r="D321" s="11"/>
      <c r="E321" s="10"/>
      <c r="F321" s="10"/>
      <c r="G321" s="10"/>
      <c r="H321" s="10"/>
      <c r="I321" s="10"/>
    </row>
    <row r="322" customFormat="false" ht="15" hidden="false" customHeight="false" outlineLevel="0" collapsed="false">
      <c r="A322" s="10"/>
      <c r="B322" s="10"/>
      <c r="C322" s="10"/>
      <c r="D322" s="11"/>
      <c r="E322" s="10"/>
      <c r="F322" s="10"/>
      <c r="G322" s="10"/>
      <c r="H322" s="10"/>
      <c r="I322" s="10"/>
    </row>
    <row r="323" customFormat="false" ht="15" hidden="false" customHeight="false" outlineLevel="0" collapsed="false">
      <c r="A323" s="10"/>
      <c r="B323" s="10"/>
      <c r="C323" s="10"/>
      <c r="D323" s="11"/>
      <c r="E323" s="10"/>
      <c r="F323" s="10"/>
      <c r="G323" s="10"/>
      <c r="H323" s="10"/>
      <c r="I323" s="10"/>
    </row>
    <row r="324" customFormat="false" ht="15" hidden="false" customHeight="false" outlineLevel="0" collapsed="false">
      <c r="A324" s="10"/>
      <c r="B324" s="10"/>
      <c r="C324" s="10"/>
      <c r="D324" s="11"/>
      <c r="E324" s="10"/>
      <c r="F324" s="10"/>
      <c r="G324" s="10"/>
      <c r="H324" s="10"/>
      <c r="I324" s="10"/>
    </row>
    <row r="325" customFormat="false" ht="15" hidden="false" customHeight="false" outlineLevel="0" collapsed="false">
      <c r="A325" s="10"/>
      <c r="B325" s="10"/>
      <c r="C325" s="10"/>
      <c r="D325" s="11"/>
      <c r="E325" s="10"/>
      <c r="F325" s="10"/>
      <c r="G325" s="10"/>
      <c r="H325" s="10"/>
      <c r="I325" s="10"/>
    </row>
    <row r="326" customFormat="false" ht="15" hidden="false" customHeight="false" outlineLevel="0" collapsed="false">
      <c r="A326" s="10"/>
      <c r="B326" s="10"/>
      <c r="C326" s="10"/>
      <c r="D326" s="11"/>
      <c r="E326" s="10"/>
      <c r="F326" s="10"/>
      <c r="G326" s="10"/>
      <c r="H326" s="10"/>
      <c r="I326" s="10"/>
    </row>
    <row r="327" customFormat="false" ht="15" hidden="false" customHeight="false" outlineLevel="0" collapsed="false">
      <c r="A327" s="10"/>
      <c r="B327" s="10"/>
      <c r="C327" s="10"/>
      <c r="D327" s="11"/>
      <c r="E327" s="10"/>
      <c r="F327" s="10"/>
      <c r="G327" s="10"/>
      <c r="H327" s="10"/>
      <c r="I327" s="10"/>
    </row>
    <row r="328" customFormat="false" ht="15" hidden="false" customHeight="false" outlineLevel="0" collapsed="false">
      <c r="A328" s="10"/>
      <c r="B328" s="10"/>
      <c r="C328" s="10"/>
      <c r="D328" s="11"/>
      <c r="E328" s="10"/>
      <c r="F328" s="10"/>
      <c r="G328" s="10"/>
      <c r="H328" s="10"/>
      <c r="I328" s="10"/>
    </row>
    <row r="329" customFormat="false" ht="15" hidden="false" customHeight="false" outlineLevel="0" collapsed="false">
      <c r="A329" s="10"/>
      <c r="B329" s="10"/>
      <c r="C329" s="10"/>
      <c r="D329" s="11"/>
      <c r="E329" s="10"/>
      <c r="F329" s="10"/>
      <c r="G329" s="10"/>
      <c r="H329" s="10"/>
      <c r="I329" s="10"/>
    </row>
    <row r="330" customFormat="false" ht="15" hidden="false" customHeight="false" outlineLevel="0" collapsed="false">
      <c r="A330" s="10"/>
      <c r="B330" s="10"/>
      <c r="C330" s="10"/>
      <c r="D330" s="11"/>
      <c r="E330" s="10"/>
      <c r="F330" s="10"/>
      <c r="G330" s="10"/>
      <c r="H330" s="10"/>
      <c r="I330" s="10"/>
    </row>
    <row r="331" customFormat="false" ht="15" hidden="false" customHeight="false" outlineLevel="0" collapsed="false">
      <c r="A331" s="10"/>
      <c r="B331" s="10"/>
      <c r="C331" s="10"/>
      <c r="D331" s="11"/>
      <c r="E331" s="10"/>
      <c r="F331" s="10"/>
      <c r="G331" s="10"/>
      <c r="H331" s="10"/>
      <c r="I331" s="10"/>
    </row>
    <row r="332" customFormat="false" ht="15" hidden="false" customHeight="false" outlineLevel="0" collapsed="false">
      <c r="A332" s="10"/>
      <c r="B332" s="10"/>
      <c r="C332" s="10"/>
      <c r="D332" s="11"/>
      <c r="E332" s="10"/>
      <c r="F332" s="10"/>
      <c r="G332" s="10"/>
      <c r="H332" s="10"/>
      <c r="I332" s="10"/>
    </row>
    <row r="333" customFormat="false" ht="15" hidden="false" customHeight="false" outlineLevel="0" collapsed="false">
      <c r="A333" s="10"/>
      <c r="B333" s="10"/>
      <c r="C333" s="10"/>
      <c r="D333" s="11"/>
      <c r="E333" s="10"/>
      <c r="F333" s="10"/>
      <c r="G333" s="10"/>
      <c r="H333" s="10"/>
      <c r="I333" s="10"/>
    </row>
    <row r="334" customFormat="false" ht="15" hidden="false" customHeight="false" outlineLevel="0" collapsed="false">
      <c r="A334" s="10"/>
      <c r="B334" s="10"/>
      <c r="C334" s="10"/>
      <c r="D334" s="11"/>
      <c r="E334" s="10"/>
      <c r="F334" s="10"/>
      <c r="G334" s="10"/>
      <c r="H334" s="10"/>
      <c r="I334" s="10"/>
    </row>
    <row r="335" customFormat="false" ht="15" hidden="false" customHeight="false" outlineLevel="0" collapsed="false">
      <c r="A335" s="10"/>
      <c r="B335" s="10"/>
      <c r="C335" s="10"/>
      <c r="D335" s="11"/>
      <c r="E335" s="10"/>
      <c r="F335" s="10"/>
      <c r="G335" s="10"/>
      <c r="H335" s="10"/>
      <c r="I335" s="10"/>
    </row>
    <row r="336" customFormat="false" ht="15" hidden="false" customHeight="false" outlineLevel="0" collapsed="false">
      <c r="A336" s="10"/>
      <c r="B336" s="10"/>
      <c r="C336" s="10"/>
      <c r="D336" s="11"/>
      <c r="E336" s="10"/>
      <c r="F336" s="10"/>
      <c r="G336" s="10"/>
      <c r="H336" s="10"/>
      <c r="I336" s="10"/>
    </row>
    <row r="337" customFormat="false" ht="15" hidden="false" customHeight="false" outlineLevel="0" collapsed="false">
      <c r="A337" s="10"/>
      <c r="B337" s="10"/>
      <c r="C337" s="10"/>
      <c r="D337" s="11"/>
      <c r="E337" s="10"/>
      <c r="F337" s="10"/>
      <c r="G337" s="10"/>
      <c r="H337" s="10"/>
      <c r="I337" s="10"/>
    </row>
    <row r="338" customFormat="false" ht="15" hidden="false" customHeight="false" outlineLevel="0" collapsed="false">
      <c r="A338" s="10"/>
      <c r="B338" s="10"/>
      <c r="C338" s="10"/>
      <c r="D338" s="11"/>
      <c r="E338" s="10"/>
      <c r="F338" s="10"/>
      <c r="G338" s="10"/>
      <c r="H338" s="10"/>
      <c r="I338" s="10"/>
    </row>
    <row r="339" customFormat="false" ht="15" hidden="false" customHeight="false" outlineLevel="0" collapsed="false">
      <c r="A339" s="10"/>
      <c r="B339" s="10"/>
      <c r="C339" s="10"/>
      <c r="D339" s="11"/>
      <c r="E339" s="10"/>
      <c r="F339" s="10"/>
      <c r="G339" s="10"/>
      <c r="H339" s="10"/>
      <c r="I339" s="10"/>
    </row>
    <row r="340" customFormat="false" ht="15" hidden="false" customHeight="false" outlineLevel="0" collapsed="false">
      <c r="A340" s="10"/>
      <c r="B340" s="10"/>
      <c r="C340" s="10"/>
      <c r="D340" s="11"/>
      <c r="E340" s="10"/>
      <c r="F340" s="10"/>
      <c r="G340" s="10"/>
      <c r="H340" s="10"/>
      <c r="I340" s="10"/>
    </row>
    <row r="341" customFormat="false" ht="15" hidden="false" customHeight="false" outlineLevel="0" collapsed="false">
      <c r="A341" s="10"/>
      <c r="B341" s="10"/>
      <c r="C341" s="10"/>
      <c r="D341" s="11"/>
      <c r="E341" s="10"/>
      <c r="F341" s="10"/>
      <c r="G341" s="10"/>
      <c r="H341" s="10"/>
      <c r="I341" s="10"/>
    </row>
    <row r="342" customFormat="false" ht="15" hidden="false" customHeight="false" outlineLevel="0" collapsed="false">
      <c r="A342" s="10"/>
      <c r="B342" s="10"/>
      <c r="C342" s="10"/>
      <c r="D342" s="11"/>
      <c r="E342" s="10"/>
      <c r="F342" s="10"/>
      <c r="G342" s="10"/>
      <c r="H342" s="10"/>
      <c r="I342" s="10"/>
    </row>
    <row r="343" customFormat="false" ht="15" hidden="false" customHeight="false" outlineLevel="0" collapsed="false">
      <c r="A343" s="10"/>
      <c r="B343" s="10"/>
      <c r="C343" s="10"/>
      <c r="D343" s="11"/>
      <c r="E343" s="10"/>
      <c r="F343" s="10"/>
      <c r="G343" s="10"/>
      <c r="H343" s="10"/>
      <c r="I343" s="10"/>
    </row>
    <row r="344" customFormat="false" ht="15" hidden="false" customHeight="false" outlineLevel="0" collapsed="false">
      <c r="A344" s="10"/>
      <c r="B344" s="10"/>
      <c r="C344" s="10"/>
      <c r="D344" s="11"/>
      <c r="E344" s="10"/>
      <c r="F344" s="10"/>
      <c r="G344" s="10"/>
      <c r="H344" s="10"/>
      <c r="I344" s="10"/>
    </row>
    <row r="345" customFormat="false" ht="15" hidden="false" customHeight="false" outlineLevel="0" collapsed="false">
      <c r="A345" s="10"/>
      <c r="B345" s="10"/>
      <c r="C345" s="10"/>
      <c r="D345" s="11"/>
      <c r="E345" s="10"/>
      <c r="F345" s="10"/>
      <c r="G345" s="10"/>
      <c r="H345" s="10"/>
      <c r="I345" s="10"/>
    </row>
    <row r="346" customFormat="false" ht="15" hidden="false" customHeight="false" outlineLevel="0" collapsed="false">
      <c r="A346" s="10"/>
      <c r="B346" s="10"/>
      <c r="C346" s="10"/>
      <c r="D346" s="11"/>
      <c r="E346" s="10"/>
      <c r="F346" s="10"/>
      <c r="G346" s="10"/>
      <c r="H346" s="10"/>
      <c r="I346" s="10"/>
    </row>
    <row r="347" customFormat="false" ht="15" hidden="false" customHeight="false" outlineLevel="0" collapsed="false">
      <c r="A347" s="10"/>
      <c r="B347" s="10"/>
      <c r="C347" s="10"/>
      <c r="D347" s="11"/>
      <c r="E347" s="10"/>
      <c r="F347" s="10"/>
      <c r="G347" s="10"/>
      <c r="H347" s="10"/>
      <c r="I347" s="10"/>
    </row>
    <row r="348" customFormat="false" ht="15" hidden="false" customHeight="false" outlineLevel="0" collapsed="false">
      <c r="A348" s="10"/>
      <c r="B348" s="10"/>
      <c r="C348" s="10"/>
      <c r="D348" s="11"/>
      <c r="E348" s="10"/>
      <c r="F348" s="10"/>
      <c r="G348" s="10"/>
      <c r="H348" s="10"/>
      <c r="I348" s="10"/>
    </row>
    <row r="349" customFormat="false" ht="15" hidden="false" customHeight="false" outlineLevel="0" collapsed="false">
      <c r="A349" s="10"/>
      <c r="B349" s="10"/>
      <c r="C349" s="10"/>
      <c r="D349" s="11"/>
      <c r="E349" s="10"/>
      <c r="F349" s="10"/>
      <c r="G349" s="10"/>
      <c r="H349" s="10"/>
      <c r="I349" s="10"/>
    </row>
    <row r="350" customFormat="false" ht="15" hidden="false" customHeight="false" outlineLevel="0" collapsed="false">
      <c r="A350" s="10"/>
      <c r="B350" s="10"/>
      <c r="C350" s="10"/>
      <c r="D350" s="11"/>
      <c r="E350" s="10"/>
      <c r="F350" s="10"/>
      <c r="G350" s="10"/>
      <c r="H350" s="10"/>
      <c r="I350" s="10"/>
    </row>
    <row r="351" customFormat="false" ht="15" hidden="false" customHeight="false" outlineLevel="0" collapsed="false">
      <c r="A351" s="10"/>
      <c r="B351" s="10"/>
      <c r="C351" s="10"/>
      <c r="D351" s="11"/>
      <c r="E351" s="10"/>
      <c r="F351" s="10"/>
      <c r="G351" s="10"/>
      <c r="H351" s="10"/>
      <c r="I351" s="10"/>
    </row>
    <row r="352" customFormat="false" ht="15" hidden="false" customHeight="false" outlineLevel="0" collapsed="false">
      <c r="A352" s="10"/>
      <c r="B352" s="10"/>
      <c r="C352" s="10"/>
      <c r="D352" s="11"/>
      <c r="E352" s="10"/>
      <c r="F352" s="10"/>
      <c r="G352" s="10"/>
      <c r="H352" s="10"/>
      <c r="I352" s="10"/>
    </row>
    <row r="353" customFormat="false" ht="15" hidden="false" customHeight="false" outlineLevel="0" collapsed="false">
      <c r="A353" s="10"/>
      <c r="B353" s="10"/>
      <c r="C353" s="10"/>
      <c r="D353" s="11"/>
      <c r="E353" s="10"/>
      <c r="F353" s="10"/>
      <c r="G353" s="10"/>
      <c r="H353" s="10"/>
      <c r="I353" s="10"/>
    </row>
    <row r="354" customFormat="false" ht="15" hidden="false" customHeight="false" outlineLevel="0" collapsed="false">
      <c r="A354" s="10"/>
      <c r="B354" s="10"/>
      <c r="C354" s="10"/>
      <c r="D354" s="11"/>
      <c r="E354" s="10"/>
      <c r="F354" s="10"/>
      <c r="G354" s="10"/>
      <c r="H354" s="10"/>
      <c r="I354" s="10"/>
    </row>
    <row r="355" customFormat="false" ht="15" hidden="false" customHeight="false" outlineLevel="0" collapsed="false">
      <c r="A355" s="10"/>
      <c r="B355" s="10"/>
      <c r="C355" s="10"/>
      <c r="D355" s="11"/>
      <c r="E355" s="10"/>
      <c r="F355" s="10"/>
      <c r="G355" s="10"/>
      <c r="H355" s="10"/>
      <c r="I355" s="10"/>
    </row>
    <row r="356" customFormat="false" ht="15" hidden="false" customHeight="false" outlineLevel="0" collapsed="false">
      <c r="A356" s="10"/>
      <c r="B356" s="10"/>
      <c r="C356" s="10"/>
      <c r="D356" s="11"/>
      <c r="E356" s="10"/>
      <c r="F356" s="10"/>
      <c r="G356" s="10"/>
      <c r="H356" s="10"/>
      <c r="I356" s="10"/>
    </row>
    <row r="357" customFormat="false" ht="15" hidden="false" customHeight="false" outlineLevel="0" collapsed="false">
      <c r="A357" s="10"/>
      <c r="B357" s="10"/>
      <c r="C357" s="10"/>
      <c r="D357" s="11"/>
      <c r="E357" s="10"/>
      <c r="F357" s="10"/>
      <c r="G357" s="10"/>
      <c r="H357" s="10"/>
      <c r="I357" s="10"/>
    </row>
    <row r="358" customFormat="false" ht="15" hidden="false" customHeight="false" outlineLevel="0" collapsed="false">
      <c r="A358" s="10"/>
      <c r="B358" s="10"/>
      <c r="C358" s="10"/>
      <c r="D358" s="11"/>
      <c r="E358" s="10"/>
      <c r="F358" s="10"/>
      <c r="G358" s="10"/>
      <c r="H358" s="10"/>
      <c r="I358" s="10"/>
    </row>
    <row r="359" customFormat="false" ht="15" hidden="false" customHeight="false" outlineLevel="0" collapsed="false">
      <c r="A359" s="10"/>
      <c r="B359" s="10"/>
      <c r="C359" s="10"/>
      <c r="D359" s="11"/>
      <c r="E359" s="10"/>
      <c r="F359" s="10"/>
      <c r="G359" s="10"/>
      <c r="H359" s="10"/>
      <c r="I359" s="10"/>
    </row>
    <row r="360" customFormat="false" ht="15" hidden="false" customHeight="false" outlineLevel="0" collapsed="false">
      <c r="A360" s="10"/>
      <c r="B360" s="10"/>
      <c r="C360" s="10"/>
      <c r="D360" s="11"/>
      <c r="E360" s="10"/>
      <c r="F360" s="10"/>
      <c r="G360" s="10"/>
      <c r="H360" s="10"/>
      <c r="I360" s="10"/>
    </row>
    <row r="361" customFormat="false" ht="15" hidden="false" customHeight="false" outlineLevel="0" collapsed="false">
      <c r="A361" s="10"/>
      <c r="B361" s="10"/>
      <c r="C361" s="10"/>
      <c r="D361" s="11"/>
      <c r="E361" s="10"/>
      <c r="F361" s="10"/>
      <c r="G361" s="10"/>
      <c r="H361" s="10"/>
      <c r="I361" s="10"/>
    </row>
    <row r="362" customFormat="false" ht="15" hidden="false" customHeight="false" outlineLevel="0" collapsed="false">
      <c r="A362" s="10"/>
      <c r="B362" s="10"/>
      <c r="C362" s="10"/>
      <c r="D362" s="11"/>
      <c r="E362" s="10"/>
      <c r="F362" s="10"/>
      <c r="G362" s="10"/>
      <c r="H362" s="10"/>
      <c r="I362" s="10"/>
    </row>
    <row r="363" customFormat="false" ht="15" hidden="false" customHeight="false" outlineLevel="0" collapsed="false">
      <c r="A363" s="10"/>
      <c r="B363" s="10"/>
      <c r="C363" s="10"/>
      <c r="D363" s="11"/>
      <c r="E363" s="10"/>
      <c r="F363" s="10"/>
      <c r="G363" s="10"/>
      <c r="H363" s="10"/>
      <c r="I363" s="10"/>
    </row>
    <row r="364" customFormat="false" ht="15" hidden="false" customHeight="false" outlineLevel="0" collapsed="false">
      <c r="A364" s="10"/>
      <c r="B364" s="10"/>
      <c r="C364" s="10"/>
      <c r="D364" s="11"/>
      <c r="E364" s="10"/>
      <c r="F364" s="10"/>
      <c r="G364" s="10"/>
      <c r="H364" s="10"/>
      <c r="I364" s="10"/>
    </row>
    <row r="365" customFormat="false" ht="15" hidden="false" customHeight="false" outlineLevel="0" collapsed="false">
      <c r="A365" s="10"/>
      <c r="B365" s="10"/>
      <c r="C365" s="10"/>
      <c r="D365" s="11"/>
      <c r="E365" s="10"/>
      <c r="F365" s="10"/>
      <c r="G365" s="10"/>
      <c r="H365" s="10"/>
      <c r="I365" s="10"/>
    </row>
    <row r="366" customFormat="false" ht="15" hidden="false" customHeight="false" outlineLevel="0" collapsed="false">
      <c r="A366" s="10"/>
      <c r="B366" s="10"/>
      <c r="C366" s="10"/>
      <c r="D366" s="11"/>
      <c r="E366" s="10"/>
      <c r="F366" s="10"/>
      <c r="G366" s="10"/>
      <c r="H366" s="10"/>
      <c r="I366" s="10"/>
    </row>
    <row r="367" customFormat="false" ht="15" hidden="false" customHeight="false" outlineLevel="0" collapsed="false">
      <c r="A367" s="10"/>
      <c r="B367" s="10"/>
      <c r="C367" s="10"/>
      <c r="D367" s="11"/>
      <c r="E367" s="10"/>
      <c r="F367" s="10"/>
      <c r="G367" s="10"/>
      <c r="H367" s="10"/>
      <c r="I367" s="10"/>
    </row>
    <row r="368" customFormat="false" ht="15" hidden="false" customHeight="false" outlineLevel="0" collapsed="false">
      <c r="A368" s="10"/>
      <c r="B368" s="10"/>
      <c r="C368" s="10"/>
      <c r="D368" s="11"/>
      <c r="E368" s="10"/>
      <c r="F368" s="10"/>
      <c r="G368" s="10"/>
      <c r="H368" s="10"/>
      <c r="I368" s="10"/>
    </row>
    <row r="369" customFormat="false" ht="15" hidden="false" customHeight="false" outlineLevel="0" collapsed="false">
      <c r="A369" s="10"/>
      <c r="B369" s="10"/>
      <c r="C369" s="10"/>
      <c r="D369" s="11"/>
      <c r="E369" s="10"/>
      <c r="F369" s="10"/>
      <c r="G369" s="10"/>
      <c r="H369" s="10"/>
      <c r="I369" s="10"/>
    </row>
    <row r="370" customFormat="false" ht="15" hidden="false" customHeight="false" outlineLevel="0" collapsed="false">
      <c r="A370" s="10"/>
      <c r="B370" s="10"/>
      <c r="C370" s="10"/>
      <c r="D370" s="11"/>
      <c r="E370" s="10"/>
      <c r="F370" s="10"/>
      <c r="G370" s="10"/>
      <c r="H370" s="10"/>
      <c r="I370" s="10"/>
    </row>
    <row r="371" customFormat="false" ht="15" hidden="false" customHeight="false" outlineLevel="0" collapsed="false">
      <c r="A371" s="10"/>
      <c r="B371" s="10"/>
      <c r="C371" s="10"/>
      <c r="D371" s="11"/>
      <c r="E371" s="10"/>
      <c r="F371" s="10"/>
      <c r="G371" s="10"/>
      <c r="H371" s="10"/>
      <c r="I371" s="10"/>
    </row>
    <row r="372" customFormat="false" ht="15" hidden="false" customHeight="false" outlineLevel="0" collapsed="false">
      <c r="A372" s="10"/>
      <c r="B372" s="10"/>
      <c r="C372" s="10"/>
      <c r="D372" s="11"/>
      <c r="E372" s="10"/>
      <c r="F372" s="10"/>
      <c r="G372" s="10"/>
      <c r="H372" s="10"/>
      <c r="I372" s="10"/>
    </row>
    <row r="373" customFormat="false" ht="15" hidden="false" customHeight="false" outlineLevel="0" collapsed="false">
      <c r="A373" s="10"/>
      <c r="B373" s="10"/>
      <c r="C373" s="10"/>
      <c r="D373" s="11"/>
      <c r="E373" s="10"/>
      <c r="F373" s="10"/>
      <c r="G373" s="10"/>
      <c r="H373" s="10"/>
      <c r="I373" s="10"/>
    </row>
    <row r="374" customFormat="false" ht="15" hidden="false" customHeight="false" outlineLevel="0" collapsed="false">
      <c r="A374" s="10"/>
      <c r="B374" s="10"/>
      <c r="C374" s="10"/>
      <c r="D374" s="11"/>
      <c r="E374" s="10"/>
      <c r="F374" s="10"/>
      <c r="G374" s="10"/>
      <c r="H374" s="10"/>
      <c r="I374" s="10"/>
    </row>
    <row r="375" customFormat="false" ht="15" hidden="false" customHeight="false" outlineLevel="0" collapsed="false">
      <c r="A375" s="10"/>
      <c r="B375" s="10"/>
      <c r="C375" s="10"/>
      <c r="D375" s="11"/>
      <c r="E375" s="10"/>
      <c r="F375" s="10"/>
      <c r="G375" s="10"/>
      <c r="H375" s="10"/>
      <c r="I375" s="10"/>
    </row>
    <row r="376" customFormat="false" ht="15" hidden="false" customHeight="false" outlineLevel="0" collapsed="false">
      <c r="A376" s="10"/>
      <c r="B376" s="10"/>
      <c r="C376" s="10"/>
      <c r="D376" s="11"/>
      <c r="E376" s="10"/>
      <c r="F376" s="10"/>
      <c r="G376" s="10"/>
      <c r="H376" s="10"/>
      <c r="I376" s="10"/>
    </row>
    <row r="377" customFormat="false" ht="15" hidden="false" customHeight="false" outlineLevel="0" collapsed="false">
      <c r="A377" s="10"/>
      <c r="B377" s="10"/>
      <c r="C377" s="10"/>
      <c r="D377" s="11"/>
      <c r="E377" s="10"/>
      <c r="F377" s="10"/>
      <c r="G377" s="10"/>
      <c r="H377" s="10"/>
      <c r="I377" s="10"/>
    </row>
    <row r="378" customFormat="false" ht="15" hidden="false" customHeight="false" outlineLevel="0" collapsed="false">
      <c r="A378" s="10"/>
      <c r="B378" s="10"/>
      <c r="C378" s="10"/>
      <c r="D378" s="11"/>
      <c r="E378" s="10"/>
      <c r="F378" s="10"/>
      <c r="G378" s="10"/>
      <c r="H378" s="10"/>
      <c r="I378" s="10"/>
    </row>
    <row r="379" customFormat="false" ht="15" hidden="false" customHeight="false" outlineLevel="0" collapsed="false">
      <c r="A379" s="10"/>
      <c r="B379" s="10"/>
      <c r="C379" s="10"/>
      <c r="D379" s="11"/>
      <c r="E379" s="10"/>
      <c r="F379" s="10"/>
      <c r="G379" s="10"/>
      <c r="H379" s="10"/>
      <c r="I379" s="10"/>
    </row>
    <row r="380" customFormat="false" ht="15" hidden="false" customHeight="false" outlineLevel="0" collapsed="false">
      <c r="A380" s="10"/>
      <c r="B380" s="10"/>
      <c r="C380" s="10"/>
      <c r="D380" s="11"/>
      <c r="E380" s="10"/>
      <c r="F380" s="10"/>
      <c r="G380" s="10"/>
      <c r="H380" s="10"/>
      <c r="I380" s="10"/>
    </row>
    <row r="381" customFormat="false" ht="15" hidden="false" customHeight="false" outlineLevel="0" collapsed="false">
      <c r="A381" s="10"/>
      <c r="B381" s="10"/>
      <c r="C381" s="10"/>
      <c r="D381" s="11"/>
      <c r="E381" s="10"/>
      <c r="F381" s="10"/>
      <c r="G381" s="10"/>
      <c r="H381" s="10"/>
      <c r="I381" s="10"/>
    </row>
    <row r="382" customFormat="false" ht="15" hidden="false" customHeight="false" outlineLevel="0" collapsed="false">
      <c r="A382" s="10"/>
      <c r="B382" s="10"/>
      <c r="C382" s="10"/>
      <c r="D382" s="11"/>
      <c r="E382" s="10"/>
      <c r="F382" s="10"/>
      <c r="G382" s="10"/>
      <c r="H382" s="10"/>
      <c r="I382" s="10"/>
    </row>
    <row r="383" customFormat="false" ht="15" hidden="false" customHeight="false" outlineLevel="0" collapsed="false">
      <c r="A383" s="10"/>
      <c r="B383" s="10"/>
      <c r="C383" s="10"/>
      <c r="D383" s="11"/>
      <c r="E383" s="10"/>
      <c r="F383" s="10"/>
      <c r="G383" s="10"/>
      <c r="H383" s="10"/>
      <c r="I383" s="10"/>
    </row>
    <row r="384" customFormat="false" ht="15" hidden="false" customHeight="false" outlineLevel="0" collapsed="false">
      <c r="A384" s="10"/>
      <c r="B384" s="10"/>
      <c r="C384" s="10"/>
      <c r="D384" s="11"/>
      <c r="E384" s="10"/>
      <c r="F384" s="10"/>
      <c r="G384" s="10"/>
      <c r="H384" s="10"/>
      <c r="I384" s="10"/>
    </row>
    <row r="385" customFormat="false" ht="15" hidden="false" customHeight="false" outlineLevel="0" collapsed="false">
      <c r="A385" s="10"/>
      <c r="B385" s="10"/>
      <c r="C385" s="10"/>
      <c r="D385" s="11"/>
      <c r="E385" s="10"/>
      <c r="F385" s="10"/>
      <c r="G385" s="10"/>
      <c r="H385" s="10"/>
      <c r="I385" s="10"/>
    </row>
    <row r="386" customFormat="false" ht="15" hidden="false" customHeight="false" outlineLevel="0" collapsed="false">
      <c r="A386" s="10"/>
      <c r="B386" s="10"/>
      <c r="C386" s="10"/>
      <c r="D386" s="11"/>
      <c r="E386" s="10"/>
      <c r="F386" s="10"/>
      <c r="G386" s="10"/>
      <c r="H386" s="10"/>
      <c r="I386" s="10"/>
    </row>
    <row r="387" customFormat="false" ht="15" hidden="false" customHeight="false" outlineLevel="0" collapsed="false">
      <c r="A387" s="10"/>
      <c r="B387" s="10"/>
      <c r="C387" s="10"/>
      <c r="D387" s="11"/>
      <c r="E387" s="10"/>
      <c r="F387" s="10"/>
      <c r="G387" s="10"/>
      <c r="H387" s="10"/>
      <c r="I387" s="10"/>
    </row>
    <row r="388" customFormat="false" ht="15" hidden="false" customHeight="false" outlineLevel="0" collapsed="false">
      <c r="A388" s="10"/>
      <c r="B388" s="10"/>
      <c r="C388" s="10"/>
      <c r="D388" s="11"/>
      <c r="E388" s="10"/>
      <c r="F388" s="10"/>
      <c r="G388" s="10"/>
      <c r="H388" s="10"/>
      <c r="I388" s="10"/>
    </row>
    <row r="389" customFormat="false" ht="15" hidden="false" customHeight="false" outlineLevel="0" collapsed="false">
      <c r="A389" s="10"/>
      <c r="B389" s="10"/>
      <c r="C389" s="10"/>
      <c r="D389" s="11"/>
      <c r="E389" s="10"/>
      <c r="F389" s="10"/>
      <c r="G389" s="10"/>
      <c r="H389" s="10"/>
      <c r="I389" s="10"/>
    </row>
    <row r="390" customFormat="false" ht="15" hidden="false" customHeight="false" outlineLevel="0" collapsed="false">
      <c r="A390" s="10"/>
      <c r="B390" s="10"/>
      <c r="C390" s="10"/>
      <c r="D390" s="11"/>
      <c r="E390" s="10"/>
      <c r="F390" s="10"/>
      <c r="G390" s="10"/>
      <c r="H390" s="10"/>
      <c r="I390" s="10"/>
    </row>
    <row r="391" customFormat="false" ht="15" hidden="false" customHeight="false" outlineLevel="0" collapsed="false">
      <c r="A391" s="10"/>
      <c r="B391" s="10"/>
      <c r="C391" s="10"/>
      <c r="D391" s="11"/>
      <c r="E391" s="10"/>
      <c r="F391" s="10"/>
      <c r="G391" s="10"/>
      <c r="H391" s="10"/>
      <c r="I391" s="10"/>
    </row>
    <row r="392" customFormat="false" ht="15" hidden="false" customHeight="false" outlineLevel="0" collapsed="false">
      <c r="A392" s="10"/>
      <c r="B392" s="10"/>
      <c r="C392" s="10"/>
      <c r="D392" s="11"/>
      <c r="E392" s="10"/>
      <c r="F392" s="10"/>
      <c r="G392" s="10"/>
      <c r="H392" s="10"/>
      <c r="I392" s="10"/>
    </row>
    <row r="393" customFormat="false" ht="15" hidden="false" customHeight="false" outlineLevel="0" collapsed="false">
      <c r="A393" s="10"/>
      <c r="B393" s="10"/>
      <c r="C393" s="10"/>
      <c r="D393" s="11"/>
      <c r="E393" s="10"/>
      <c r="F393" s="10"/>
      <c r="G393" s="10"/>
      <c r="H393" s="10"/>
      <c r="I393" s="10"/>
    </row>
    <row r="394" customFormat="false" ht="15" hidden="false" customHeight="false" outlineLevel="0" collapsed="false">
      <c r="A394" s="10"/>
      <c r="B394" s="10"/>
      <c r="C394" s="10"/>
      <c r="D394" s="11"/>
      <c r="E394" s="10"/>
      <c r="F394" s="10"/>
      <c r="G394" s="10"/>
      <c r="H394" s="10"/>
      <c r="I394" s="10"/>
    </row>
    <row r="395" customFormat="false" ht="15" hidden="false" customHeight="false" outlineLevel="0" collapsed="false">
      <c r="A395" s="10"/>
      <c r="B395" s="10"/>
      <c r="C395" s="10"/>
      <c r="D395" s="11"/>
      <c r="E395" s="10"/>
      <c r="F395" s="10"/>
      <c r="G395" s="10"/>
      <c r="H395" s="10"/>
      <c r="I395" s="10"/>
    </row>
    <row r="396" customFormat="false" ht="15" hidden="false" customHeight="false" outlineLevel="0" collapsed="false">
      <c r="A396" s="10"/>
      <c r="B396" s="10"/>
      <c r="C396" s="10"/>
      <c r="D396" s="11"/>
      <c r="E396" s="10"/>
      <c r="F396" s="10"/>
      <c r="G396" s="10"/>
      <c r="H396" s="10"/>
      <c r="I396" s="10"/>
    </row>
    <row r="397" customFormat="false" ht="15" hidden="false" customHeight="false" outlineLevel="0" collapsed="false">
      <c r="A397" s="10"/>
      <c r="B397" s="10"/>
      <c r="C397" s="10"/>
      <c r="D397" s="11"/>
      <c r="E397" s="10"/>
      <c r="F397" s="10"/>
      <c r="G397" s="10"/>
      <c r="H397" s="10"/>
      <c r="I397" s="10"/>
    </row>
    <row r="398" customFormat="false" ht="15" hidden="false" customHeight="false" outlineLevel="0" collapsed="false">
      <c r="A398" s="10"/>
      <c r="B398" s="10"/>
      <c r="C398" s="10"/>
      <c r="D398" s="11"/>
      <c r="E398" s="10"/>
      <c r="F398" s="10"/>
      <c r="G398" s="10"/>
      <c r="H398" s="10"/>
      <c r="I398" s="10"/>
    </row>
    <row r="399" customFormat="false" ht="15" hidden="false" customHeight="false" outlineLevel="0" collapsed="false">
      <c r="A399" s="10"/>
      <c r="B399" s="10"/>
      <c r="C399" s="10"/>
      <c r="D399" s="11"/>
      <c r="E399" s="10"/>
      <c r="F399" s="10"/>
      <c r="G399" s="10"/>
      <c r="H399" s="10"/>
      <c r="I399" s="10"/>
    </row>
    <row r="400" customFormat="false" ht="15" hidden="false" customHeight="false" outlineLevel="0" collapsed="false">
      <c r="A400" s="10"/>
      <c r="B400" s="10"/>
      <c r="C400" s="10"/>
      <c r="D400" s="11"/>
      <c r="E400" s="10"/>
      <c r="F400" s="10"/>
      <c r="G400" s="10"/>
      <c r="H400" s="10"/>
      <c r="I400" s="10"/>
    </row>
    <row r="401" customFormat="false" ht="15" hidden="false" customHeight="false" outlineLevel="0" collapsed="false">
      <c r="A401" s="10"/>
      <c r="B401" s="10"/>
      <c r="C401" s="10"/>
      <c r="D401" s="11"/>
      <c r="E401" s="10"/>
      <c r="F401" s="10"/>
      <c r="G401" s="10"/>
      <c r="H401" s="10"/>
      <c r="I401" s="10"/>
    </row>
    <row r="402" customFormat="false" ht="15" hidden="false" customHeight="false" outlineLevel="0" collapsed="false">
      <c r="A402" s="10"/>
      <c r="B402" s="10"/>
      <c r="C402" s="10"/>
      <c r="D402" s="11"/>
      <c r="E402" s="10"/>
      <c r="F402" s="10"/>
      <c r="G402" s="10"/>
      <c r="H402" s="10"/>
      <c r="I402" s="10"/>
    </row>
    <row r="403" customFormat="false" ht="15" hidden="false" customHeight="false" outlineLevel="0" collapsed="false">
      <c r="A403" s="10"/>
      <c r="B403" s="10"/>
      <c r="C403" s="10"/>
      <c r="D403" s="11"/>
      <c r="E403" s="10"/>
      <c r="F403" s="10"/>
      <c r="G403" s="10"/>
      <c r="H403" s="10"/>
      <c r="I403" s="10"/>
    </row>
    <row r="404" customFormat="false" ht="15" hidden="false" customHeight="false" outlineLevel="0" collapsed="false">
      <c r="A404" s="10"/>
      <c r="B404" s="10"/>
      <c r="C404" s="10"/>
      <c r="D404" s="11"/>
      <c r="E404" s="10"/>
      <c r="F404" s="10"/>
      <c r="G404" s="10"/>
      <c r="H404" s="10"/>
      <c r="I404" s="10"/>
    </row>
    <row r="405" customFormat="false" ht="15" hidden="false" customHeight="false" outlineLevel="0" collapsed="false">
      <c r="A405" s="10"/>
      <c r="B405" s="10"/>
      <c r="C405" s="10"/>
      <c r="D405" s="11"/>
      <c r="E405" s="10"/>
      <c r="F405" s="10"/>
      <c r="G405" s="10"/>
      <c r="H405" s="10"/>
      <c r="I405" s="10"/>
    </row>
    <row r="406" customFormat="false" ht="15" hidden="false" customHeight="false" outlineLevel="0" collapsed="false">
      <c r="A406" s="10"/>
      <c r="B406" s="10"/>
      <c r="C406" s="10"/>
      <c r="D406" s="11"/>
      <c r="E406" s="10"/>
      <c r="F406" s="10"/>
      <c r="G406" s="10"/>
      <c r="H406" s="10"/>
      <c r="I406" s="10"/>
    </row>
    <row r="407" customFormat="false" ht="15" hidden="false" customHeight="false" outlineLevel="0" collapsed="false">
      <c r="A407" s="10"/>
      <c r="B407" s="10"/>
      <c r="C407" s="10"/>
      <c r="D407" s="11"/>
      <c r="E407" s="10"/>
      <c r="F407" s="10"/>
      <c r="G407" s="10"/>
      <c r="H407" s="10"/>
      <c r="I407" s="10"/>
    </row>
    <row r="408" customFormat="false" ht="15" hidden="false" customHeight="false" outlineLevel="0" collapsed="false">
      <c r="A408" s="10"/>
      <c r="B408" s="10"/>
      <c r="C408" s="10"/>
      <c r="D408" s="11"/>
      <c r="E408" s="10"/>
      <c r="F408" s="10"/>
      <c r="G408" s="10"/>
      <c r="H408" s="10"/>
      <c r="I408" s="10"/>
    </row>
    <row r="409" customFormat="false" ht="15" hidden="false" customHeight="false" outlineLevel="0" collapsed="false">
      <c r="A409" s="10"/>
      <c r="B409" s="10"/>
      <c r="C409" s="10"/>
      <c r="D409" s="11"/>
      <c r="E409" s="10"/>
      <c r="F409" s="10"/>
      <c r="G409" s="10"/>
      <c r="H409" s="10"/>
      <c r="I409" s="10"/>
    </row>
    <row r="410" customFormat="false" ht="15" hidden="false" customHeight="false" outlineLevel="0" collapsed="false">
      <c r="A410" s="10"/>
      <c r="B410" s="10"/>
      <c r="C410" s="10"/>
      <c r="D410" s="11"/>
      <c r="E410" s="10"/>
      <c r="F410" s="10"/>
      <c r="G410" s="10"/>
      <c r="H410" s="10"/>
      <c r="I410" s="10"/>
    </row>
    <row r="411" customFormat="false" ht="15" hidden="false" customHeight="false" outlineLevel="0" collapsed="false">
      <c r="A411" s="10"/>
      <c r="B411" s="10"/>
      <c r="C411" s="10"/>
      <c r="D411" s="11"/>
      <c r="E411" s="10"/>
      <c r="F411" s="10"/>
      <c r="G411" s="10"/>
      <c r="H411" s="10"/>
      <c r="I411" s="10"/>
    </row>
    <row r="412" customFormat="false" ht="15" hidden="false" customHeight="false" outlineLevel="0" collapsed="false">
      <c r="A412" s="10"/>
      <c r="B412" s="10"/>
      <c r="C412" s="10"/>
      <c r="D412" s="11"/>
      <c r="E412" s="10"/>
      <c r="F412" s="10"/>
      <c r="G412" s="10"/>
      <c r="H412" s="10"/>
      <c r="I412" s="10"/>
    </row>
    <row r="413" customFormat="false" ht="15" hidden="false" customHeight="false" outlineLevel="0" collapsed="false">
      <c r="A413" s="10"/>
      <c r="B413" s="10"/>
      <c r="C413" s="10"/>
      <c r="D413" s="11"/>
      <c r="E413" s="10"/>
      <c r="F413" s="10"/>
      <c r="G413" s="10"/>
      <c r="H413" s="10"/>
      <c r="I413" s="10"/>
    </row>
    <row r="414" customFormat="false" ht="15" hidden="false" customHeight="false" outlineLevel="0" collapsed="false">
      <c r="A414" s="10"/>
      <c r="B414" s="10"/>
      <c r="C414" s="10"/>
      <c r="D414" s="11"/>
      <c r="E414" s="10"/>
      <c r="F414" s="10"/>
      <c r="G414" s="10"/>
      <c r="H414" s="10"/>
      <c r="I414" s="10"/>
    </row>
    <row r="415" customFormat="false" ht="15" hidden="false" customHeight="false" outlineLevel="0" collapsed="false">
      <c r="A415" s="10"/>
      <c r="B415" s="10"/>
      <c r="C415" s="10"/>
      <c r="D415" s="11"/>
      <c r="E415" s="10"/>
      <c r="F415" s="10"/>
      <c r="G415" s="10"/>
      <c r="H415" s="10"/>
      <c r="I415" s="10"/>
    </row>
    <row r="416" customFormat="false" ht="15" hidden="false" customHeight="false" outlineLevel="0" collapsed="false">
      <c r="A416" s="10"/>
      <c r="B416" s="10"/>
      <c r="C416" s="10"/>
      <c r="D416" s="11"/>
      <c r="E416" s="10"/>
      <c r="F416" s="10"/>
      <c r="G416" s="10"/>
      <c r="H416" s="10"/>
      <c r="I416" s="10"/>
    </row>
    <row r="417" customFormat="false" ht="15" hidden="false" customHeight="false" outlineLevel="0" collapsed="false">
      <c r="A417" s="10"/>
      <c r="B417" s="10"/>
      <c r="C417" s="10"/>
      <c r="D417" s="11"/>
      <c r="E417" s="10"/>
      <c r="F417" s="10"/>
      <c r="G417" s="10"/>
      <c r="H417" s="10"/>
      <c r="I417" s="10"/>
    </row>
    <row r="418" customFormat="false" ht="15" hidden="false" customHeight="false" outlineLevel="0" collapsed="false">
      <c r="A418" s="10"/>
      <c r="B418" s="10"/>
      <c r="C418" s="10"/>
      <c r="D418" s="11"/>
      <c r="E418" s="10"/>
      <c r="F418" s="10"/>
      <c r="G418" s="10"/>
      <c r="H418" s="10"/>
      <c r="I418" s="10"/>
    </row>
    <row r="419" customFormat="false" ht="15" hidden="false" customHeight="false" outlineLevel="0" collapsed="false">
      <c r="A419" s="10"/>
      <c r="B419" s="10"/>
      <c r="C419" s="10"/>
      <c r="D419" s="11"/>
      <c r="E419" s="10"/>
      <c r="F419" s="10"/>
      <c r="G419" s="10"/>
      <c r="H419" s="10"/>
      <c r="I419" s="10"/>
    </row>
    <row r="420" customFormat="false" ht="15" hidden="false" customHeight="false" outlineLevel="0" collapsed="false">
      <c r="A420" s="10"/>
      <c r="B420" s="10"/>
      <c r="C420" s="10"/>
      <c r="D420" s="11"/>
      <c r="E420" s="10"/>
      <c r="F420" s="10"/>
      <c r="G420" s="10"/>
      <c r="H420" s="10"/>
      <c r="I420" s="10"/>
    </row>
    <row r="421" customFormat="false" ht="15" hidden="false" customHeight="false" outlineLevel="0" collapsed="false">
      <c r="A421" s="10"/>
      <c r="B421" s="10"/>
      <c r="C421" s="10"/>
      <c r="D421" s="11"/>
      <c r="E421" s="10"/>
      <c r="F421" s="10"/>
      <c r="G421" s="10"/>
      <c r="H421" s="10"/>
      <c r="I421" s="10"/>
    </row>
    <row r="422" customFormat="false" ht="15" hidden="false" customHeight="false" outlineLevel="0" collapsed="false">
      <c r="A422" s="10"/>
      <c r="B422" s="10"/>
      <c r="C422" s="10"/>
      <c r="D422" s="11"/>
      <c r="E422" s="10"/>
      <c r="F422" s="10"/>
      <c r="G422" s="10"/>
      <c r="H422" s="10"/>
      <c r="I422" s="10"/>
    </row>
    <row r="423" customFormat="false" ht="15" hidden="false" customHeight="false" outlineLevel="0" collapsed="false">
      <c r="A423" s="10"/>
      <c r="B423" s="10"/>
      <c r="C423" s="10"/>
      <c r="D423" s="11"/>
      <c r="E423" s="10"/>
      <c r="F423" s="10"/>
      <c r="G423" s="10"/>
      <c r="H423" s="10"/>
      <c r="I423" s="10"/>
    </row>
    <row r="424" customFormat="false" ht="15" hidden="false" customHeight="false" outlineLevel="0" collapsed="false">
      <c r="A424" s="10"/>
      <c r="B424" s="10"/>
      <c r="C424" s="10"/>
      <c r="D424" s="11"/>
      <c r="E424" s="10"/>
      <c r="F424" s="10"/>
      <c r="G424" s="10"/>
      <c r="H424" s="10"/>
      <c r="I424" s="10"/>
    </row>
    <row r="425" customFormat="false" ht="15" hidden="false" customHeight="false" outlineLevel="0" collapsed="false">
      <c r="A425" s="10"/>
      <c r="B425" s="10"/>
      <c r="C425" s="10"/>
      <c r="D425" s="11"/>
      <c r="E425" s="10"/>
      <c r="F425" s="10"/>
      <c r="G425" s="10"/>
      <c r="H425" s="10"/>
      <c r="I425" s="10"/>
    </row>
    <row r="426" customFormat="false" ht="15" hidden="false" customHeight="false" outlineLevel="0" collapsed="false">
      <c r="A426" s="10"/>
      <c r="B426" s="10"/>
      <c r="C426" s="10"/>
      <c r="D426" s="11"/>
      <c r="E426" s="10"/>
      <c r="F426" s="10"/>
      <c r="G426" s="10"/>
      <c r="H426" s="10"/>
      <c r="I426" s="10"/>
    </row>
    <row r="427" customFormat="false" ht="15" hidden="false" customHeight="false" outlineLevel="0" collapsed="false">
      <c r="A427" s="10"/>
      <c r="B427" s="10"/>
      <c r="C427" s="10"/>
      <c r="D427" s="11"/>
      <c r="E427" s="10"/>
      <c r="F427" s="10"/>
      <c r="G427" s="10"/>
      <c r="H427" s="10"/>
      <c r="I427" s="10"/>
    </row>
    <row r="428" customFormat="false" ht="15" hidden="false" customHeight="false" outlineLevel="0" collapsed="false">
      <c r="A428" s="10"/>
      <c r="B428" s="10"/>
      <c r="C428" s="10"/>
      <c r="D428" s="11"/>
      <c r="E428" s="10"/>
      <c r="F428" s="10"/>
      <c r="G428" s="10"/>
      <c r="H428" s="10"/>
      <c r="I428" s="10"/>
    </row>
    <row r="429" customFormat="false" ht="15" hidden="false" customHeight="false" outlineLevel="0" collapsed="false">
      <c r="A429" s="10"/>
      <c r="B429" s="10"/>
      <c r="C429" s="10"/>
      <c r="D429" s="11"/>
      <c r="E429" s="10"/>
      <c r="F429" s="10"/>
      <c r="G429" s="10"/>
      <c r="H429" s="10"/>
      <c r="I429" s="10"/>
    </row>
    <row r="430" customFormat="false" ht="15" hidden="false" customHeight="false" outlineLevel="0" collapsed="false">
      <c r="A430" s="10"/>
      <c r="B430" s="10"/>
      <c r="C430" s="10"/>
      <c r="D430" s="11"/>
      <c r="E430" s="10"/>
      <c r="F430" s="10"/>
      <c r="G430" s="10"/>
      <c r="H430" s="10"/>
      <c r="I430" s="10"/>
    </row>
    <row r="431" customFormat="false" ht="15" hidden="false" customHeight="false" outlineLevel="0" collapsed="false">
      <c r="A431" s="10"/>
      <c r="B431" s="10"/>
      <c r="C431" s="10"/>
      <c r="D431" s="11"/>
      <c r="E431" s="10"/>
      <c r="F431" s="10"/>
      <c r="G431" s="10"/>
      <c r="H431" s="10"/>
      <c r="I431" s="10"/>
    </row>
    <row r="432" customFormat="false" ht="15" hidden="false" customHeight="false" outlineLevel="0" collapsed="false">
      <c r="A432" s="10"/>
      <c r="B432" s="10"/>
      <c r="C432" s="10"/>
      <c r="D432" s="11"/>
      <c r="E432" s="10"/>
      <c r="F432" s="10"/>
      <c r="G432" s="10"/>
      <c r="H432" s="10"/>
      <c r="I432" s="10"/>
    </row>
    <row r="433" customFormat="false" ht="15" hidden="false" customHeight="false" outlineLevel="0" collapsed="false">
      <c r="A433" s="10"/>
      <c r="B433" s="10"/>
      <c r="C433" s="10"/>
      <c r="D433" s="11"/>
      <c r="E433" s="10"/>
      <c r="F433" s="10"/>
      <c r="G433" s="10"/>
      <c r="H433" s="10"/>
      <c r="I433" s="10"/>
    </row>
    <row r="434" customFormat="false" ht="15" hidden="false" customHeight="false" outlineLevel="0" collapsed="false">
      <c r="A434" s="10"/>
      <c r="B434" s="10"/>
      <c r="C434" s="10"/>
      <c r="D434" s="11"/>
      <c r="E434" s="10"/>
      <c r="F434" s="10"/>
      <c r="G434" s="10"/>
      <c r="H434" s="10"/>
      <c r="I434" s="10"/>
    </row>
    <row r="435" customFormat="false" ht="15" hidden="false" customHeight="false" outlineLevel="0" collapsed="false">
      <c r="A435" s="10"/>
      <c r="B435" s="10"/>
      <c r="C435" s="10"/>
      <c r="D435" s="11"/>
      <c r="E435" s="10"/>
      <c r="F435" s="10"/>
      <c r="G435" s="10"/>
      <c r="H435" s="10"/>
      <c r="I435" s="10"/>
    </row>
    <row r="436" customFormat="false" ht="15" hidden="false" customHeight="false" outlineLevel="0" collapsed="false">
      <c r="A436" s="10"/>
      <c r="B436" s="10"/>
      <c r="C436" s="10"/>
      <c r="D436" s="11"/>
      <c r="E436" s="10"/>
      <c r="F436" s="10"/>
      <c r="G436" s="10"/>
      <c r="H436" s="10"/>
      <c r="I436" s="10"/>
    </row>
    <row r="437" customFormat="false" ht="15" hidden="false" customHeight="false" outlineLevel="0" collapsed="false">
      <c r="A437" s="10"/>
      <c r="B437" s="10"/>
      <c r="C437" s="10"/>
      <c r="D437" s="11"/>
      <c r="E437" s="10"/>
      <c r="F437" s="10"/>
      <c r="G437" s="10"/>
      <c r="H437" s="10"/>
      <c r="I437" s="10"/>
    </row>
    <row r="438" customFormat="false" ht="15" hidden="false" customHeight="false" outlineLevel="0" collapsed="false">
      <c r="A438" s="10"/>
      <c r="B438" s="10"/>
      <c r="C438" s="10"/>
      <c r="D438" s="11"/>
      <c r="E438" s="10"/>
      <c r="F438" s="10"/>
      <c r="G438" s="10"/>
      <c r="H438" s="10"/>
      <c r="I438" s="10"/>
    </row>
    <row r="439" customFormat="false" ht="15" hidden="false" customHeight="false" outlineLevel="0" collapsed="false">
      <c r="A439" s="10"/>
      <c r="B439" s="10"/>
      <c r="C439" s="10"/>
      <c r="D439" s="11"/>
      <c r="E439" s="10"/>
      <c r="F439" s="10"/>
      <c r="G439" s="10"/>
      <c r="H439" s="10"/>
      <c r="I439" s="10"/>
    </row>
    <row r="440" customFormat="false" ht="15" hidden="false" customHeight="false" outlineLevel="0" collapsed="false">
      <c r="A440" s="10"/>
      <c r="B440" s="10"/>
      <c r="C440" s="10"/>
      <c r="D440" s="11"/>
      <c r="E440" s="10"/>
      <c r="F440" s="10"/>
      <c r="G440" s="10"/>
      <c r="H440" s="10"/>
      <c r="I440" s="10"/>
    </row>
    <row r="441" customFormat="false" ht="15" hidden="false" customHeight="false" outlineLevel="0" collapsed="false">
      <c r="A441" s="10"/>
      <c r="B441" s="10"/>
      <c r="C441" s="10"/>
      <c r="D441" s="11"/>
      <c r="E441" s="10"/>
      <c r="F441" s="10"/>
      <c r="G441" s="10"/>
      <c r="H441" s="10"/>
      <c r="I441" s="10"/>
    </row>
    <row r="442" customFormat="false" ht="15" hidden="false" customHeight="false" outlineLevel="0" collapsed="false">
      <c r="A442" s="10"/>
      <c r="B442" s="10"/>
      <c r="C442" s="10"/>
      <c r="D442" s="11"/>
      <c r="E442" s="10"/>
      <c r="F442" s="10"/>
      <c r="G442" s="10"/>
      <c r="H442" s="10"/>
      <c r="I442" s="10"/>
    </row>
    <row r="443" customFormat="false" ht="15" hidden="false" customHeight="false" outlineLevel="0" collapsed="false">
      <c r="A443" s="10"/>
      <c r="B443" s="10"/>
      <c r="C443" s="10"/>
      <c r="D443" s="11"/>
      <c r="E443" s="10"/>
      <c r="F443" s="10"/>
      <c r="G443" s="10"/>
      <c r="H443" s="10"/>
      <c r="I443" s="10"/>
    </row>
    <row r="444" customFormat="false" ht="15" hidden="false" customHeight="false" outlineLevel="0" collapsed="false">
      <c r="A444" s="10"/>
      <c r="B444" s="10"/>
      <c r="C444" s="10"/>
      <c r="D444" s="11"/>
      <c r="E444" s="10"/>
      <c r="F444" s="10"/>
      <c r="G444" s="10"/>
      <c r="H444" s="10"/>
      <c r="I444" s="10"/>
    </row>
    <row r="445" customFormat="false" ht="15" hidden="false" customHeight="false" outlineLevel="0" collapsed="false">
      <c r="A445" s="10"/>
      <c r="B445" s="10"/>
      <c r="C445" s="10"/>
      <c r="D445" s="11"/>
      <c r="E445" s="10"/>
      <c r="F445" s="10"/>
      <c r="G445" s="10"/>
      <c r="H445" s="10"/>
      <c r="I445" s="10"/>
    </row>
    <row r="446" customFormat="false" ht="15" hidden="false" customHeight="false" outlineLevel="0" collapsed="false">
      <c r="A446" s="10"/>
      <c r="B446" s="10"/>
      <c r="C446" s="10"/>
      <c r="D446" s="11"/>
      <c r="E446" s="10"/>
      <c r="F446" s="10"/>
      <c r="G446" s="10"/>
      <c r="H446" s="10"/>
      <c r="I446" s="10"/>
    </row>
    <row r="447" customFormat="false" ht="15" hidden="false" customHeight="false" outlineLevel="0" collapsed="false">
      <c r="A447" s="10"/>
      <c r="B447" s="10"/>
      <c r="C447" s="10"/>
      <c r="D447" s="11"/>
      <c r="E447" s="10"/>
      <c r="F447" s="10"/>
      <c r="G447" s="10"/>
      <c r="H447" s="10"/>
      <c r="I447" s="10"/>
    </row>
    <row r="448" customFormat="false" ht="15" hidden="false" customHeight="false" outlineLevel="0" collapsed="false">
      <c r="A448" s="10"/>
      <c r="B448" s="10"/>
      <c r="C448" s="10"/>
      <c r="D448" s="11"/>
      <c r="E448" s="10"/>
      <c r="F448" s="10"/>
      <c r="G448" s="10"/>
      <c r="H448" s="10"/>
      <c r="I448" s="10"/>
    </row>
    <row r="449" customFormat="false" ht="15" hidden="false" customHeight="false" outlineLevel="0" collapsed="false">
      <c r="A449" s="10"/>
      <c r="B449" s="10"/>
      <c r="C449" s="10"/>
      <c r="D449" s="11"/>
      <c r="E449" s="10"/>
      <c r="F449" s="10"/>
      <c r="G449" s="10"/>
      <c r="H449" s="10"/>
      <c r="I449" s="10"/>
    </row>
    <row r="450" customFormat="false" ht="15" hidden="false" customHeight="false" outlineLevel="0" collapsed="false">
      <c r="A450" s="10"/>
      <c r="B450" s="10"/>
      <c r="C450" s="10"/>
      <c r="D450" s="11"/>
      <c r="E450" s="10"/>
      <c r="F450" s="10"/>
      <c r="G450" s="10"/>
      <c r="H450" s="10"/>
      <c r="I450" s="10"/>
    </row>
    <row r="451" customFormat="false" ht="15" hidden="false" customHeight="false" outlineLevel="0" collapsed="false">
      <c r="A451" s="10"/>
      <c r="B451" s="10"/>
      <c r="C451" s="10"/>
      <c r="D451" s="11"/>
      <c r="E451" s="10"/>
      <c r="F451" s="10"/>
      <c r="G451" s="10"/>
      <c r="H451" s="10"/>
      <c r="I451" s="10"/>
    </row>
    <row r="452" customFormat="false" ht="15" hidden="false" customHeight="false" outlineLevel="0" collapsed="false">
      <c r="A452" s="10"/>
      <c r="B452" s="10"/>
      <c r="C452" s="10"/>
      <c r="D452" s="11"/>
      <c r="E452" s="10"/>
      <c r="F452" s="10"/>
      <c r="G452" s="10"/>
      <c r="H452" s="10"/>
      <c r="I452" s="10"/>
    </row>
    <row r="453" customFormat="false" ht="15" hidden="false" customHeight="false" outlineLevel="0" collapsed="false">
      <c r="A453" s="10"/>
      <c r="B453" s="10"/>
      <c r="C453" s="10"/>
      <c r="D453" s="11"/>
      <c r="E453" s="10"/>
      <c r="F453" s="10"/>
      <c r="G453" s="10"/>
      <c r="H453" s="10"/>
      <c r="I453" s="10"/>
    </row>
    <row r="454" customFormat="false" ht="15" hidden="false" customHeight="false" outlineLevel="0" collapsed="false">
      <c r="A454" s="10"/>
      <c r="B454" s="10"/>
      <c r="C454" s="10"/>
      <c r="D454" s="11"/>
      <c r="E454" s="10"/>
      <c r="F454" s="10"/>
      <c r="G454" s="10"/>
      <c r="H454" s="10"/>
      <c r="I454" s="10"/>
    </row>
    <row r="455" customFormat="false" ht="15" hidden="false" customHeight="false" outlineLevel="0" collapsed="false">
      <c r="A455" s="10"/>
      <c r="B455" s="10"/>
      <c r="C455" s="10"/>
      <c r="D455" s="11"/>
      <c r="E455" s="10"/>
      <c r="F455" s="10"/>
      <c r="G455" s="10"/>
      <c r="H455" s="10"/>
      <c r="I455" s="10"/>
    </row>
    <row r="456" customFormat="false" ht="15" hidden="false" customHeight="false" outlineLevel="0" collapsed="false">
      <c r="A456" s="10"/>
      <c r="B456" s="10"/>
      <c r="C456" s="10"/>
      <c r="D456" s="11"/>
      <c r="E456" s="10"/>
      <c r="F456" s="10"/>
      <c r="G456" s="10"/>
      <c r="H456" s="10"/>
      <c r="I456" s="10"/>
    </row>
    <row r="457" customFormat="false" ht="15" hidden="false" customHeight="false" outlineLevel="0" collapsed="false">
      <c r="A457" s="10"/>
      <c r="B457" s="10"/>
      <c r="C457" s="10"/>
      <c r="D457" s="11"/>
      <c r="E457" s="10"/>
      <c r="F457" s="10"/>
      <c r="G457" s="10"/>
      <c r="H457" s="10"/>
      <c r="I457" s="10"/>
    </row>
    <row r="458" customFormat="false" ht="15" hidden="false" customHeight="false" outlineLevel="0" collapsed="false">
      <c r="A458" s="10"/>
      <c r="B458" s="10"/>
      <c r="C458" s="10"/>
      <c r="D458" s="11"/>
      <c r="E458" s="10"/>
      <c r="F458" s="10"/>
      <c r="G458" s="10"/>
      <c r="H458" s="10"/>
      <c r="I458" s="10"/>
    </row>
    <row r="459" customFormat="false" ht="15" hidden="false" customHeight="false" outlineLevel="0" collapsed="false">
      <c r="A459" s="10"/>
      <c r="B459" s="10"/>
      <c r="C459" s="10"/>
      <c r="D459" s="11"/>
      <c r="E459" s="10"/>
      <c r="F459" s="10"/>
      <c r="G459" s="10"/>
      <c r="H459" s="10"/>
      <c r="I459" s="10"/>
    </row>
    <row r="460" customFormat="false" ht="15" hidden="false" customHeight="false" outlineLevel="0" collapsed="false">
      <c r="A460" s="10"/>
      <c r="B460" s="10"/>
      <c r="C460" s="10"/>
      <c r="D460" s="11"/>
      <c r="E460" s="10"/>
      <c r="F460" s="10"/>
      <c r="G460" s="10"/>
      <c r="H460" s="10"/>
      <c r="I460" s="10"/>
    </row>
    <row r="461" customFormat="false" ht="15" hidden="false" customHeight="false" outlineLevel="0" collapsed="false">
      <c r="A461" s="10"/>
      <c r="B461" s="10"/>
      <c r="C461" s="10"/>
      <c r="D461" s="11"/>
      <c r="E461" s="10"/>
      <c r="F461" s="10"/>
      <c r="G461" s="10"/>
      <c r="H461" s="10"/>
      <c r="I461" s="10"/>
    </row>
    <row r="462" customFormat="false" ht="15" hidden="false" customHeight="false" outlineLevel="0" collapsed="false">
      <c r="A462" s="10"/>
      <c r="B462" s="10"/>
      <c r="C462" s="10"/>
      <c r="D462" s="11"/>
      <c r="E462" s="10"/>
      <c r="F462" s="10"/>
      <c r="G462" s="10"/>
      <c r="H462" s="10"/>
      <c r="I462" s="10"/>
    </row>
    <row r="463" customFormat="false" ht="15" hidden="false" customHeight="false" outlineLevel="0" collapsed="false">
      <c r="A463" s="10"/>
      <c r="B463" s="10"/>
      <c r="C463" s="10"/>
      <c r="D463" s="11"/>
      <c r="E463" s="10"/>
      <c r="F463" s="10"/>
      <c r="G463" s="10"/>
      <c r="H463" s="10"/>
      <c r="I463" s="10"/>
    </row>
    <row r="464" customFormat="false" ht="15" hidden="false" customHeight="false" outlineLevel="0" collapsed="false">
      <c r="A464" s="10"/>
      <c r="B464" s="10"/>
      <c r="C464" s="10"/>
      <c r="D464" s="11"/>
      <c r="E464" s="10"/>
      <c r="F464" s="10"/>
      <c r="G464" s="10"/>
      <c r="H464" s="10"/>
      <c r="I464" s="10"/>
    </row>
    <row r="465" customFormat="false" ht="15" hidden="false" customHeight="false" outlineLevel="0" collapsed="false">
      <c r="A465" s="10"/>
      <c r="B465" s="10"/>
      <c r="C465" s="10"/>
      <c r="D465" s="11"/>
      <c r="E465" s="10"/>
      <c r="F465" s="10"/>
      <c r="G465" s="10"/>
      <c r="H465" s="10"/>
      <c r="I465" s="10"/>
    </row>
    <row r="466" customFormat="false" ht="15" hidden="false" customHeight="false" outlineLevel="0" collapsed="false">
      <c r="A466" s="10"/>
      <c r="B466" s="10"/>
      <c r="C466" s="10"/>
      <c r="D466" s="11"/>
      <c r="E466" s="10"/>
      <c r="F466" s="10"/>
      <c r="G466" s="10"/>
      <c r="H466" s="10"/>
      <c r="I466" s="10"/>
    </row>
    <row r="467" customFormat="false" ht="15" hidden="false" customHeight="false" outlineLevel="0" collapsed="false">
      <c r="A467" s="10"/>
      <c r="B467" s="10"/>
      <c r="C467" s="10"/>
      <c r="D467" s="11"/>
      <c r="E467" s="10"/>
      <c r="F467" s="10"/>
      <c r="G467" s="10"/>
      <c r="H467" s="10"/>
      <c r="I467" s="10"/>
    </row>
    <row r="468" customFormat="false" ht="15" hidden="false" customHeight="false" outlineLevel="0" collapsed="false">
      <c r="A468" s="10"/>
      <c r="B468" s="10"/>
      <c r="C468" s="10"/>
      <c r="D468" s="11"/>
      <c r="E468" s="10"/>
      <c r="F468" s="10"/>
      <c r="G468" s="10"/>
      <c r="H468" s="10"/>
      <c r="I468" s="10"/>
    </row>
    <row r="469" customFormat="false" ht="15" hidden="false" customHeight="false" outlineLevel="0" collapsed="false">
      <c r="A469" s="10"/>
      <c r="B469" s="10"/>
      <c r="C469" s="10"/>
      <c r="D469" s="11"/>
      <c r="E469" s="10"/>
      <c r="F469" s="10"/>
      <c r="G469" s="10"/>
      <c r="H469" s="10"/>
      <c r="I469" s="10"/>
    </row>
    <row r="470" customFormat="false" ht="15" hidden="false" customHeight="false" outlineLevel="0" collapsed="false">
      <c r="A470" s="10"/>
      <c r="B470" s="10"/>
      <c r="C470" s="10"/>
      <c r="D470" s="11"/>
      <c r="E470" s="10"/>
      <c r="F470" s="10"/>
      <c r="G470" s="10"/>
      <c r="H470" s="10"/>
      <c r="I470" s="10"/>
    </row>
    <row r="471" customFormat="false" ht="15" hidden="false" customHeight="false" outlineLevel="0" collapsed="false">
      <c r="A471" s="10"/>
      <c r="B471" s="10"/>
      <c r="C471" s="10"/>
      <c r="D471" s="11"/>
      <c r="E471" s="10"/>
      <c r="F471" s="10"/>
      <c r="G471" s="10"/>
      <c r="H471" s="10"/>
      <c r="I471" s="10"/>
    </row>
    <row r="472" customFormat="false" ht="15" hidden="false" customHeight="false" outlineLevel="0" collapsed="false">
      <c r="A472" s="10"/>
      <c r="B472" s="10"/>
      <c r="C472" s="10"/>
      <c r="D472" s="11"/>
      <c r="E472" s="10"/>
      <c r="F472" s="10"/>
      <c r="G472" s="10"/>
      <c r="H472" s="10"/>
      <c r="I472" s="10"/>
    </row>
    <row r="473" customFormat="false" ht="15" hidden="false" customHeight="false" outlineLevel="0" collapsed="false">
      <c r="A473" s="10"/>
      <c r="B473" s="10"/>
      <c r="C473" s="10"/>
      <c r="D473" s="11"/>
      <c r="E473" s="10"/>
      <c r="F473" s="10"/>
      <c r="G473" s="10"/>
      <c r="H473" s="10"/>
      <c r="I473" s="10"/>
    </row>
    <row r="474" customFormat="false" ht="15" hidden="false" customHeight="false" outlineLevel="0" collapsed="false">
      <c r="A474" s="10"/>
      <c r="B474" s="10"/>
      <c r="C474" s="10"/>
      <c r="D474" s="11"/>
      <c r="E474" s="10"/>
      <c r="F474" s="10"/>
      <c r="G474" s="10"/>
      <c r="H474" s="10"/>
      <c r="I474" s="10"/>
    </row>
    <row r="475" customFormat="false" ht="15" hidden="false" customHeight="false" outlineLevel="0" collapsed="false">
      <c r="A475" s="10"/>
      <c r="B475" s="10"/>
      <c r="C475" s="10"/>
      <c r="D475" s="11"/>
      <c r="E475" s="10"/>
      <c r="F475" s="10"/>
      <c r="G475" s="10"/>
      <c r="H475" s="10"/>
      <c r="I475" s="10"/>
    </row>
    <row r="476" customFormat="false" ht="15" hidden="false" customHeight="false" outlineLevel="0" collapsed="false">
      <c r="A476" s="10"/>
      <c r="B476" s="10"/>
      <c r="C476" s="10"/>
      <c r="D476" s="11"/>
      <c r="E476" s="10"/>
      <c r="F476" s="10"/>
      <c r="G476" s="10"/>
      <c r="H476" s="10"/>
      <c r="I476" s="10"/>
    </row>
    <row r="477" customFormat="false" ht="15" hidden="false" customHeight="false" outlineLevel="0" collapsed="false">
      <c r="A477" s="10"/>
      <c r="B477" s="10"/>
      <c r="C477" s="10"/>
      <c r="D477" s="11"/>
      <c r="E477" s="10"/>
      <c r="F477" s="10"/>
      <c r="G477" s="10"/>
      <c r="H477" s="10"/>
      <c r="I477" s="10"/>
    </row>
    <row r="478" customFormat="false" ht="15" hidden="false" customHeight="false" outlineLevel="0" collapsed="false">
      <c r="A478" s="10"/>
      <c r="B478" s="10"/>
      <c r="C478" s="10"/>
      <c r="D478" s="11"/>
      <c r="E478" s="10"/>
      <c r="F478" s="10"/>
      <c r="G478" s="10"/>
      <c r="H478" s="10"/>
      <c r="I478" s="10"/>
    </row>
    <row r="479" customFormat="false" ht="15" hidden="false" customHeight="false" outlineLevel="0" collapsed="false">
      <c r="A479" s="10"/>
      <c r="B479" s="10"/>
      <c r="C479" s="10"/>
      <c r="D479" s="11"/>
      <c r="E479" s="10"/>
      <c r="F479" s="10"/>
      <c r="G479" s="10"/>
      <c r="H479" s="10"/>
      <c r="I479" s="10"/>
    </row>
    <row r="480" customFormat="false" ht="15" hidden="false" customHeight="false" outlineLevel="0" collapsed="false">
      <c r="A480" s="10"/>
      <c r="B480" s="10"/>
      <c r="C480" s="10"/>
      <c r="D480" s="11"/>
      <c r="E480" s="10"/>
      <c r="F480" s="10"/>
      <c r="G480" s="10"/>
      <c r="H480" s="10"/>
      <c r="I480" s="10"/>
    </row>
    <row r="481" customFormat="false" ht="15" hidden="false" customHeight="false" outlineLevel="0" collapsed="false">
      <c r="A481" s="10"/>
      <c r="B481" s="10"/>
      <c r="C481" s="10"/>
      <c r="D481" s="11"/>
      <c r="E481" s="10"/>
      <c r="F481" s="10"/>
      <c r="G481" s="10"/>
      <c r="H481" s="10"/>
      <c r="I481" s="10"/>
    </row>
    <row r="482" customFormat="false" ht="15" hidden="false" customHeight="false" outlineLevel="0" collapsed="false">
      <c r="A482" s="10"/>
      <c r="B482" s="10"/>
      <c r="C482" s="10"/>
      <c r="D482" s="11"/>
      <c r="E482" s="10"/>
      <c r="F482" s="10"/>
      <c r="G482" s="10"/>
      <c r="H482" s="10"/>
      <c r="I482" s="10"/>
    </row>
    <row r="483" customFormat="false" ht="15" hidden="false" customHeight="false" outlineLevel="0" collapsed="false">
      <c r="A483" s="10"/>
      <c r="B483" s="10"/>
      <c r="C483" s="10"/>
      <c r="D483" s="11"/>
      <c r="E483" s="10"/>
      <c r="F483" s="10"/>
      <c r="G483" s="10"/>
      <c r="H483" s="10"/>
      <c r="I483" s="10"/>
    </row>
    <row r="484" customFormat="false" ht="15" hidden="false" customHeight="false" outlineLevel="0" collapsed="false">
      <c r="A484" s="10"/>
      <c r="B484" s="10"/>
      <c r="C484" s="10"/>
      <c r="D484" s="11"/>
      <c r="E484" s="10"/>
      <c r="F484" s="10"/>
      <c r="G484" s="10"/>
      <c r="H484" s="10"/>
      <c r="I484" s="10"/>
    </row>
    <row r="485" customFormat="false" ht="15" hidden="false" customHeight="false" outlineLevel="0" collapsed="false">
      <c r="A485" s="10"/>
      <c r="B485" s="10"/>
      <c r="C485" s="10"/>
      <c r="D485" s="11"/>
      <c r="E485" s="10"/>
      <c r="F485" s="10"/>
      <c r="G485" s="10"/>
      <c r="H485" s="10"/>
      <c r="I485" s="10"/>
    </row>
    <row r="486" customFormat="false" ht="15" hidden="false" customHeight="false" outlineLevel="0" collapsed="false">
      <c r="A486" s="10"/>
      <c r="B486" s="10"/>
      <c r="C486" s="10"/>
      <c r="D486" s="11"/>
      <c r="E486" s="10"/>
      <c r="F486" s="10"/>
      <c r="G486" s="10"/>
      <c r="H486" s="10"/>
      <c r="I486" s="10"/>
    </row>
    <row r="487" customFormat="false" ht="15" hidden="false" customHeight="false" outlineLevel="0" collapsed="false">
      <c r="A487" s="10"/>
      <c r="B487" s="10"/>
      <c r="C487" s="10"/>
      <c r="D487" s="11"/>
      <c r="E487" s="10"/>
      <c r="F487" s="10"/>
      <c r="G487" s="10"/>
      <c r="H487" s="10"/>
      <c r="I487" s="10"/>
    </row>
    <row r="488" customFormat="false" ht="15" hidden="false" customHeight="false" outlineLevel="0" collapsed="false">
      <c r="A488" s="10"/>
      <c r="B488" s="10"/>
      <c r="C488" s="10"/>
      <c r="D488" s="11"/>
      <c r="E488" s="10"/>
      <c r="F488" s="10"/>
      <c r="G488" s="10"/>
      <c r="H488" s="10"/>
      <c r="I488" s="10"/>
    </row>
    <row r="489" customFormat="false" ht="15" hidden="false" customHeight="false" outlineLevel="0" collapsed="false">
      <c r="A489" s="10"/>
      <c r="B489" s="10"/>
      <c r="C489" s="10"/>
      <c r="D489" s="11"/>
      <c r="E489" s="10"/>
      <c r="F489" s="10"/>
      <c r="G489" s="10"/>
      <c r="H489" s="10"/>
      <c r="I489" s="10"/>
    </row>
    <row r="490" customFormat="false" ht="15" hidden="false" customHeight="false" outlineLevel="0" collapsed="false">
      <c r="A490" s="10"/>
      <c r="B490" s="10"/>
      <c r="C490" s="10"/>
      <c r="D490" s="11"/>
      <c r="E490" s="10"/>
      <c r="F490" s="10"/>
      <c r="G490" s="10"/>
      <c r="H490" s="10"/>
      <c r="I490" s="10"/>
    </row>
    <row r="491" customFormat="false" ht="15" hidden="false" customHeight="false" outlineLevel="0" collapsed="false">
      <c r="A491" s="10"/>
      <c r="B491" s="10"/>
      <c r="C491" s="10"/>
      <c r="D491" s="11"/>
      <c r="E491" s="10"/>
      <c r="F491" s="10"/>
      <c r="G491" s="10"/>
      <c r="H491" s="10"/>
      <c r="I491" s="10"/>
    </row>
    <row r="492" customFormat="false" ht="15" hidden="false" customHeight="false" outlineLevel="0" collapsed="false">
      <c r="A492" s="10"/>
      <c r="B492" s="10"/>
      <c r="C492" s="10"/>
      <c r="D492" s="11"/>
      <c r="E492" s="10"/>
      <c r="F492" s="10"/>
      <c r="G492" s="10"/>
      <c r="H492" s="10"/>
      <c r="I492" s="10"/>
    </row>
    <row r="493" customFormat="false" ht="15" hidden="false" customHeight="false" outlineLevel="0" collapsed="false">
      <c r="A493" s="10"/>
      <c r="B493" s="10"/>
      <c r="C493" s="10"/>
      <c r="D493" s="11"/>
      <c r="E493" s="10"/>
      <c r="F493" s="10"/>
      <c r="G493" s="10"/>
      <c r="H493" s="10"/>
      <c r="I493" s="10"/>
    </row>
    <row r="494" customFormat="false" ht="15" hidden="false" customHeight="false" outlineLevel="0" collapsed="false">
      <c r="A494" s="10"/>
      <c r="B494" s="10"/>
      <c r="C494" s="10"/>
      <c r="D494" s="11"/>
      <c r="E494" s="10"/>
      <c r="F494" s="10"/>
      <c r="G494" s="10"/>
      <c r="H494" s="10"/>
      <c r="I494" s="10"/>
    </row>
    <row r="495" customFormat="false" ht="15" hidden="false" customHeight="false" outlineLevel="0" collapsed="false">
      <c r="A495" s="10"/>
      <c r="B495" s="10"/>
      <c r="C495" s="10"/>
      <c r="D495" s="11"/>
      <c r="E495" s="10"/>
      <c r="F495" s="10"/>
      <c r="G495" s="10"/>
      <c r="H495" s="10"/>
      <c r="I495" s="10"/>
    </row>
    <row r="496" customFormat="false" ht="15" hidden="false" customHeight="false" outlineLevel="0" collapsed="false">
      <c r="A496" s="10"/>
      <c r="B496" s="10"/>
      <c r="C496" s="10"/>
      <c r="D496" s="11"/>
      <c r="E496" s="10"/>
      <c r="F496" s="10"/>
      <c r="G496" s="10"/>
      <c r="H496" s="10"/>
      <c r="I496" s="10"/>
    </row>
    <row r="497" customFormat="false" ht="15" hidden="false" customHeight="false" outlineLevel="0" collapsed="false">
      <c r="A497" s="10"/>
      <c r="B497" s="10"/>
      <c r="C497" s="10"/>
      <c r="D497" s="11"/>
      <c r="E497" s="10"/>
      <c r="F497" s="10"/>
      <c r="G497" s="10"/>
      <c r="H497" s="10"/>
      <c r="I497" s="10"/>
    </row>
    <row r="498" customFormat="false" ht="15" hidden="false" customHeight="false" outlineLevel="0" collapsed="false">
      <c r="A498" s="10"/>
      <c r="B498" s="10"/>
      <c r="C498" s="10"/>
      <c r="D498" s="11"/>
      <c r="E498" s="10"/>
      <c r="F498" s="10"/>
      <c r="G498" s="10"/>
      <c r="H498" s="10"/>
      <c r="I498" s="10"/>
    </row>
    <row r="499" customFormat="false" ht="15" hidden="false" customHeight="false" outlineLevel="0" collapsed="false">
      <c r="A499" s="10"/>
      <c r="B499" s="10"/>
      <c r="C499" s="10"/>
      <c r="D499" s="11"/>
      <c r="E499" s="10"/>
      <c r="F499" s="10"/>
      <c r="G499" s="10"/>
      <c r="H499" s="10"/>
      <c r="I499" s="10"/>
    </row>
    <row r="500" customFormat="false" ht="15" hidden="false" customHeight="false" outlineLevel="0" collapsed="false">
      <c r="A500" s="10"/>
      <c r="B500" s="10"/>
      <c r="C500" s="10"/>
      <c r="D500" s="11"/>
      <c r="E500" s="10"/>
      <c r="F500" s="10"/>
      <c r="G500" s="10"/>
      <c r="H500" s="10"/>
      <c r="I500" s="10"/>
    </row>
  </sheetData>
  <dataValidations count="2">
    <dataValidation allowBlank="true" errorStyle="stop" operator="between" showDropDown="false" showErrorMessage="false" showInputMessage="false" sqref="E2:E500" type="list">
      <formula1>"现结,周结,半月结,月结"</formula1>
      <formula2>0</formula2>
    </dataValidation>
    <dataValidation allowBlank="true" errorStyle="stop" operator="between" showDropDown="false" showErrorMessage="false" showInputMessage="false" sqref="F2:G500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" t="s">
        <v>97</v>
      </c>
      <c r="B1" s="6" t="s">
        <v>99</v>
      </c>
      <c r="C1" s="6" t="s">
        <v>113</v>
      </c>
      <c r="D1" s="6" t="s">
        <v>121</v>
      </c>
      <c r="E1" s="6" t="s">
        <v>31</v>
      </c>
    </row>
    <row r="2" customFormat="false" ht="15" hidden="false" customHeight="false" outlineLevel="0" collapsed="false">
      <c r="A2" s="7" t="s">
        <v>105</v>
      </c>
      <c r="B2" s="8" t="s">
        <v>67</v>
      </c>
      <c r="C2" s="9" t="n">
        <v>100</v>
      </c>
      <c r="D2" s="8" t="s">
        <v>122</v>
      </c>
      <c r="E2" s="8" t="s">
        <v>123</v>
      </c>
    </row>
    <row r="3" customFormat="false" ht="15" hidden="false" customHeight="false" outlineLevel="0" collapsed="false">
      <c r="A3" s="10"/>
      <c r="B3" s="10"/>
      <c r="C3" s="11"/>
      <c r="D3" s="10"/>
      <c r="E3" s="10"/>
    </row>
    <row r="4" customFormat="false" ht="15" hidden="false" customHeight="false" outlineLevel="0" collapsed="false">
      <c r="A4" s="10"/>
      <c r="B4" s="10"/>
      <c r="C4" s="11"/>
      <c r="D4" s="10"/>
      <c r="E4" s="10"/>
    </row>
    <row r="5" customFormat="false" ht="15" hidden="false" customHeight="false" outlineLevel="0" collapsed="false">
      <c r="A5" s="10"/>
      <c r="B5" s="10"/>
      <c r="C5" s="11"/>
      <c r="D5" s="10"/>
      <c r="E5" s="10"/>
    </row>
    <row r="6" customFormat="false" ht="15" hidden="false" customHeight="false" outlineLevel="0" collapsed="false">
      <c r="A6" s="10"/>
      <c r="B6" s="10"/>
      <c r="C6" s="11"/>
      <c r="D6" s="10"/>
      <c r="E6" s="10"/>
    </row>
    <row r="7" customFormat="false" ht="15" hidden="false" customHeight="false" outlineLevel="0" collapsed="false">
      <c r="A7" s="10"/>
      <c r="B7" s="10"/>
      <c r="C7" s="11"/>
      <c r="D7" s="10"/>
      <c r="E7" s="10"/>
    </row>
    <row r="8" customFormat="false" ht="15" hidden="false" customHeight="false" outlineLevel="0" collapsed="false">
      <c r="A8" s="10"/>
      <c r="B8" s="10"/>
      <c r="C8" s="11"/>
      <c r="D8" s="10"/>
      <c r="E8" s="10"/>
    </row>
    <row r="9" customFormat="false" ht="15" hidden="false" customHeight="false" outlineLevel="0" collapsed="false">
      <c r="A9" s="10"/>
      <c r="B9" s="10"/>
      <c r="C9" s="11"/>
      <c r="D9" s="10"/>
      <c r="E9" s="10"/>
    </row>
    <row r="10" customFormat="false" ht="15" hidden="false" customHeight="false" outlineLevel="0" collapsed="false">
      <c r="A10" s="10"/>
      <c r="B10" s="10"/>
      <c r="C10" s="11"/>
      <c r="D10" s="10"/>
      <c r="E10" s="10"/>
    </row>
    <row r="11" customFormat="false" ht="15" hidden="false" customHeight="false" outlineLevel="0" collapsed="false">
      <c r="A11" s="10"/>
      <c r="B11" s="10"/>
      <c r="C11" s="11"/>
      <c r="D11" s="10"/>
      <c r="E11" s="10"/>
    </row>
    <row r="12" customFormat="false" ht="15" hidden="false" customHeight="false" outlineLevel="0" collapsed="false">
      <c r="A12" s="10"/>
      <c r="B12" s="10"/>
      <c r="C12" s="11"/>
      <c r="D12" s="10"/>
      <c r="E12" s="10"/>
    </row>
    <row r="13" customFormat="false" ht="15" hidden="false" customHeight="false" outlineLevel="0" collapsed="false">
      <c r="A13" s="10"/>
      <c r="B13" s="10"/>
      <c r="C13" s="11"/>
      <c r="D13" s="10"/>
      <c r="E13" s="10"/>
    </row>
    <row r="14" customFormat="false" ht="15" hidden="false" customHeight="false" outlineLevel="0" collapsed="false">
      <c r="A14" s="10"/>
      <c r="B14" s="10"/>
      <c r="C14" s="11"/>
      <c r="D14" s="10"/>
      <c r="E14" s="10"/>
    </row>
    <row r="15" customFormat="false" ht="15" hidden="false" customHeight="false" outlineLevel="0" collapsed="false">
      <c r="A15" s="10"/>
      <c r="B15" s="10"/>
      <c r="C15" s="11"/>
      <c r="D15" s="10"/>
      <c r="E15" s="10"/>
    </row>
    <row r="16" customFormat="false" ht="15" hidden="false" customHeight="false" outlineLevel="0" collapsed="false">
      <c r="A16" s="10"/>
      <c r="B16" s="10"/>
      <c r="C16" s="11"/>
      <c r="D16" s="10"/>
      <c r="E16" s="10"/>
    </row>
    <row r="17" customFormat="false" ht="15" hidden="false" customHeight="false" outlineLevel="0" collapsed="false">
      <c r="A17" s="10"/>
      <c r="B17" s="10"/>
      <c r="C17" s="11"/>
      <c r="D17" s="10"/>
      <c r="E17" s="10"/>
    </row>
    <row r="18" customFormat="false" ht="15" hidden="false" customHeight="false" outlineLevel="0" collapsed="false">
      <c r="A18" s="10"/>
      <c r="B18" s="10"/>
      <c r="C18" s="11"/>
      <c r="D18" s="10"/>
      <c r="E18" s="10"/>
    </row>
    <row r="19" customFormat="false" ht="15" hidden="false" customHeight="false" outlineLevel="0" collapsed="false">
      <c r="A19" s="10"/>
      <c r="B19" s="10"/>
      <c r="C19" s="11"/>
      <c r="D19" s="10"/>
      <c r="E19" s="10"/>
    </row>
    <row r="20" customFormat="false" ht="15" hidden="false" customHeight="false" outlineLevel="0" collapsed="false">
      <c r="A20" s="10"/>
      <c r="B20" s="10"/>
      <c r="C20" s="11"/>
      <c r="D20" s="10"/>
      <c r="E20" s="10"/>
    </row>
    <row r="21" customFormat="false" ht="15" hidden="false" customHeight="false" outlineLevel="0" collapsed="false">
      <c r="A21" s="10"/>
      <c r="B21" s="10"/>
      <c r="C21" s="11"/>
      <c r="D21" s="10"/>
      <c r="E21" s="10"/>
    </row>
    <row r="22" customFormat="false" ht="15" hidden="false" customHeight="false" outlineLevel="0" collapsed="false">
      <c r="A22" s="10"/>
      <c r="B22" s="10"/>
      <c r="C22" s="11"/>
      <c r="D22" s="10"/>
      <c r="E22" s="10"/>
    </row>
    <row r="23" customFormat="false" ht="15" hidden="false" customHeight="false" outlineLevel="0" collapsed="false">
      <c r="A23" s="10"/>
      <c r="B23" s="10"/>
      <c r="C23" s="11"/>
      <c r="D23" s="10"/>
      <c r="E23" s="10"/>
    </row>
    <row r="24" customFormat="false" ht="15" hidden="false" customHeight="false" outlineLevel="0" collapsed="false">
      <c r="A24" s="10"/>
      <c r="B24" s="10"/>
      <c r="C24" s="11"/>
      <c r="D24" s="10"/>
      <c r="E24" s="10"/>
    </row>
    <row r="25" customFormat="false" ht="15" hidden="false" customHeight="false" outlineLevel="0" collapsed="false">
      <c r="A25" s="10"/>
      <c r="B25" s="10"/>
      <c r="C25" s="11"/>
      <c r="D25" s="10"/>
      <c r="E25" s="10"/>
    </row>
    <row r="26" customFormat="false" ht="15" hidden="false" customHeight="false" outlineLevel="0" collapsed="false">
      <c r="A26" s="10"/>
      <c r="B26" s="10"/>
      <c r="C26" s="11"/>
      <c r="D26" s="10"/>
      <c r="E26" s="10"/>
    </row>
    <row r="27" customFormat="false" ht="15" hidden="false" customHeight="false" outlineLevel="0" collapsed="false">
      <c r="A27" s="10"/>
      <c r="B27" s="10"/>
      <c r="C27" s="11"/>
      <c r="D27" s="10"/>
      <c r="E27" s="10"/>
    </row>
    <row r="28" customFormat="false" ht="15" hidden="false" customHeight="false" outlineLevel="0" collapsed="false">
      <c r="A28" s="10"/>
      <c r="B28" s="10"/>
      <c r="C28" s="11"/>
      <c r="D28" s="10"/>
      <c r="E28" s="10"/>
    </row>
    <row r="29" customFormat="false" ht="15" hidden="false" customHeight="false" outlineLevel="0" collapsed="false">
      <c r="A29" s="10"/>
      <c r="B29" s="10"/>
      <c r="C29" s="11"/>
      <c r="D29" s="10"/>
      <c r="E29" s="10"/>
    </row>
    <row r="30" customFormat="false" ht="15" hidden="false" customHeight="false" outlineLevel="0" collapsed="false">
      <c r="A30" s="10"/>
      <c r="B30" s="10"/>
      <c r="C30" s="11"/>
      <c r="D30" s="10"/>
      <c r="E30" s="10"/>
    </row>
    <row r="31" customFormat="false" ht="15" hidden="false" customHeight="false" outlineLevel="0" collapsed="false">
      <c r="A31" s="10"/>
      <c r="B31" s="10"/>
      <c r="C31" s="11"/>
      <c r="D31" s="10"/>
      <c r="E31" s="10"/>
    </row>
    <row r="32" customFormat="false" ht="15" hidden="false" customHeight="false" outlineLevel="0" collapsed="false">
      <c r="A32" s="10"/>
      <c r="B32" s="10"/>
      <c r="C32" s="11"/>
      <c r="D32" s="10"/>
      <c r="E32" s="10"/>
    </row>
    <row r="33" customFormat="false" ht="15" hidden="false" customHeight="false" outlineLevel="0" collapsed="false">
      <c r="A33" s="10"/>
      <c r="B33" s="10"/>
      <c r="C33" s="11"/>
      <c r="D33" s="10"/>
      <c r="E33" s="10"/>
    </row>
    <row r="34" customFormat="false" ht="15" hidden="false" customHeight="false" outlineLevel="0" collapsed="false">
      <c r="A34" s="10"/>
      <c r="B34" s="10"/>
      <c r="C34" s="11"/>
      <c r="D34" s="10"/>
      <c r="E34" s="10"/>
    </row>
    <row r="35" customFormat="false" ht="15" hidden="false" customHeight="false" outlineLevel="0" collapsed="false">
      <c r="A35" s="10"/>
      <c r="B35" s="10"/>
      <c r="C35" s="11"/>
      <c r="D35" s="10"/>
      <c r="E35" s="10"/>
    </row>
    <row r="36" customFormat="false" ht="15" hidden="false" customHeight="false" outlineLevel="0" collapsed="false">
      <c r="A36" s="10"/>
      <c r="B36" s="10"/>
      <c r="C36" s="11"/>
      <c r="D36" s="10"/>
      <c r="E36" s="10"/>
    </row>
    <row r="37" customFormat="false" ht="15" hidden="false" customHeight="false" outlineLevel="0" collapsed="false">
      <c r="A37" s="10"/>
      <c r="B37" s="10"/>
      <c r="C37" s="11"/>
      <c r="D37" s="10"/>
      <c r="E37" s="10"/>
    </row>
    <row r="38" customFormat="false" ht="15" hidden="false" customHeight="false" outlineLevel="0" collapsed="false">
      <c r="A38" s="10"/>
      <c r="B38" s="10"/>
      <c r="C38" s="11"/>
      <c r="D38" s="10"/>
      <c r="E38" s="10"/>
    </row>
    <row r="39" customFormat="false" ht="15" hidden="false" customHeight="false" outlineLevel="0" collapsed="false">
      <c r="A39" s="10"/>
      <c r="B39" s="10"/>
      <c r="C39" s="11"/>
      <c r="D39" s="10"/>
      <c r="E39" s="10"/>
    </row>
    <row r="40" customFormat="false" ht="15" hidden="false" customHeight="false" outlineLevel="0" collapsed="false">
      <c r="A40" s="10"/>
      <c r="B40" s="10"/>
      <c r="C40" s="11"/>
      <c r="D40" s="10"/>
      <c r="E40" s="10"/>
    </row>
    <row r="41" customFormat="false" ht="15" hidden="false" customHeight="false" outlineLevel="0" collapsed="false">
      <c r="A41" s="10"/>
      <c r="B41" s="10"/>
      <c r="C41" s="11"/>
      <c r="D41" s="10"/>
      <c r="E41" s="10"/>
    </row>
    <row r="42" customFormat="false" ht="15" hidden="false" customHeight="false" outlineLevel="0" collapsed="false">
      <c r="A42" s="10"/>
      <c r="B42" s="10"/>
      <c r="C42" s="11"/>
      <c r="D42" s="10"/>
      <c r="E42" s="10"/>
    </row>
    <row r="43" customFormat="false" ht="15" hidden="false" customHeight="false" outlineLevel="0" collapsed="false">
      <c r="A43" s="10"/>
      <c r="B43" s="10"/>
      <c r="C43" s="11"/>
      <c r="D43" s="10"/>
      <c r="E43" s="10"/>
    </row>
    <row r="44" customFormat="false" ht="15" hidden="false" customHeight="false" outlineLevel="0" collapsed="false">
      <c r="A44" s="10"/>
      <c r="B44" s="10"/>
      <c r="C44" s="11"/>
      <c r="D44" s="10"/>
      <c r="E44" s="10"/>
    </row>
    <row r="45" customFormat="false" ht="15" hidden="false" customHeight="false" outlineLevel="0" collapsed="false">
      <c r="A45" s="10"/>
      <c r="B45" s="10"/>
      <c r="C45" s="11"/>
      <c r="D45" s="10"/>
      <c r="E45" s="10"/>
    </row>
    <row r="46" customFormat="false" ht="15" hidden="false" customHeight="false" outlineLevel="0" collapsed="false">
      <c r="A46" s="10"/>
      <c r="B46" s="10"/>
      <c r="C46" s="11"/>
      <c r="D46" s="10"/>
      <c r="E46" s="10"/>
    </row>
    <row r="47" customFormat="false" ht="15" hidden="false" customHeight="false" outlineLevel="0" collapsed="false">
      <c r="A47" s="10"/>
      <c r="B47" s="10"/>
      <c r="C47" s="11"/>
      <c r="D47" s="10"/>
      <c r="E47" s="10"/>
    </row>
    <row r="48" customFormat="false" ht="15" hidden="false" customHeight="false" outlineLevel="0" collapsed="false">
      <c r="A48" s="10"/>
      <c r="B48" s="10"/>
      <c r="C48" s="11"/>
      <c r="D48" s="10"/>
      <c r="E48" s="10"/>
    </row>
    <row r="49" customFormat="false" ht="15" hidden="false" customHeight="false" outlineLevel="0" collapsed="false">
      <c r="A49" s="10"/>
      <c r="B49" s="10"/>
      <c r="C49" s="11"/>
      <c r="D49" s="10"/>
      <c r="E49" s="10"/>
    </row>
    <row r="50" customFormat="false" ht="15" hidden="false" customHeight="false" outlineLevel="0" collapsed="false">
      <c r="A50" s="10"/>
      <c r="B50" s="10"/>
      <c r="C50" s="11"/>
      <c r="D50" s="10"/>
      <c r="E50" s="10"/>
    </row>
    <row r="51" customFormat="false" ht="15" hidden="false" customHeight="false" outlineLevel="0" collapsed="false">
      <c r="A51" s="10"/>
      <c r="B51" s="10"/>
      <c r="C51" s="11"/>
      <c r="D51" s="10"/>
      <c r="E51" s="10"/>
    </row>
    <row r="52" customFormat="false" ht="15" hidden="false" customHeight="false" outlineLevel="0" collapsed="false">
      <c r="A52" s="10"/>
      <c r="B52" s="10"/>
      <c r="C52" s="11"/>
      <c r="D52" s="10"/>
      <c r="E52" s="10"/>
    </row>
    <row r="53" customFormat="false" ht="15" hidden="false" customHeight="false" outlineLevel="0" collapsed="false">
      <c r="A53" s="10"/>
      <c r="B53" s="10"/>
      <c r="C53" s="11"/>
      <c r="D53" s="10"/>
      <c r="E53" s="10"/>
    </row>
    <row r="54" customFormat="false" ht="15" hidden="false" customHeight="false" outlineLevel="0" collapsed="false">
      <c r="A54" s="10"/>
      <c r="B54" s="10"/>
      <c r="C54" s="11"/>
      <c r="D54" s="10"/>
      <c r="E54" s="10"/>
    </row>
    <row r="55" customFormat="false" ht="15" hidden="false" customHeight="false" outlineLevel="0" collapsed="false">
      <c r="A55" s="10"/>
      <c r="B55" s="10"/>
      <c r="C55" s="11"/>
      <c r="D55" s="10"/>
      <c r="E55" s="10"/>
    </row>
    <row r="56" customFormat="false" ht="15" hidden="false" customHeight="false" outlineLevel="0" collapsed="false">
      <c r="A56" s="10"/>
      <c r="B56" s="10"/>
      <c r="C56" s="11"/>
      <c r="D56" s="10"/>
      <c r="E56" s="10"/>
    </row>
    <row r="57" customFormat="false" ht="15" hidden="false" customHeight="false" outlineLevel="0" collapsed="false">
      <c r="A57" s="10"/>
      <c r="B57" s="10"/>
      <c r="C57" s="11"/>
      <c r="D57" s="10"/>
      <c r="E57" s="10"/>
    </row>
    <row r="58" customFormat="false" ht="15" hidden="false" customHeight="false" outlineLevel="0" collapsed="false">
      <c r="A58" s="10"/>
      <c r="B58" s="10"/>
      <c r="C58" s="11"/>
      <c r="D58" s="10"/>
      <c r="E58" s="10"/>
    </row>
    <row r="59" customFormat="false" ht="15" hidden="false" customHeight="false" outlineLevel="0" collapsed="false">
      <c r="A59" s="10"/>
      <c r="B59" s="10"/>
      <c r="C59" s="11"/>
      <c r="D59" s="10"/>
      <c r="E59" s="10"/>
    </row>
    <row r="60" customFormat="false" ht="15" hidden="false" customHeight="false" outlineLevel="0" collapsed="false">
      <c r="A60" s="10"/>
      <c r="B60" s="10"/>
      <c r="C60" s="11"/>
      <c r="D60" s="10"/>
      <c r="E60" s="10"/>
    </row>
    <row r="61" customFormat="false" ht="15" hidden="false" customHeight="false" outlineLevel="0" collapsed="false">
      <c r="A61" s="10"/>
      <c r="B61" s="10"/>
      <c r="C61" s="11"/>
      <c r="D61" s="10"/>
      <c r="E61" s="10"/>
    </row>
    <row r="62" customFormat="false" ht="15" hidden="false" customHeight="false" outlineLevel="0" collapsed="false">
      <c r="A62" s="10"/>
      <c r="B62" s="10"/>
      <c r="C62" s="11"/>
      <c r="D62" s="10"/>
      <c r="E62" s="10"/>
    </row>
    <row r="63" customFormat="false" ht="15" hidden="false" customHeight="false" outlineLevel="0" collapsed="false">
      <c r="A63" s="10"/>
      <c r="B63" s="10"/>
      <c r="C63" s="11"/>
      <c r="D63" s="10"/>
      <c r="E63" s="10"/>
    </row>
    <row r="64" customFormat="false" ht="15" hidden="false" customHeight="false" outlineLevel="0" collapsed="false">
      <c r="A64" s="10"/>
      <c r="B64" s="10"/>
      <c r="C64" s="11"/>
      <c r="D64" s="10"/>
      <c r="E64" s="10"/>
    </row>
    <row r="65" customFormat="false" ht="15" hidden="false" customHeight="false" outlineLevel="0" collapsed="false">
      <c r="A65" s="10"/>
      <c r="B65" s="10"/>
      <c r="C65" s="11"/>
      <c r="D65" s="10"/>
      <c r="E65" s="10"/>
    </row>
    <row r="66" customFormat="false" ht="15" hidden="false" customHeight="false" outlineLevel="0" collapsed="false">
      <c r="A66" s="10"/>
      <c r="B66" s="10"/>
      <c r="C66" s="11"/>
      <c r="D66" s="10"/>
      <c r="E66" s="10"/>
    </row>
    <row r="67" customFormat="false" ht="15" hidden="false" customHeight="false" outlineLevel="0" collapsed="false">
      <c r="A67" s="10"/>
      <c r="B67" s="10"/>
      <c r="C67" s="11"/>
      <c r="D67" s="10"/>
      <c r="E67" s="10"/>
    </row>
    <row r="68" customFormat="false" ht="15" hidden="false" customHeight="false" outlineLevel="0" collapsed="false">
      <c r="A68" s="10"/>
      <c r="B68" s="10"/>
      <c r="C68" s="11"/>
      <c r="D68" s="10"/>
      <c r="E68" s="10"/>
    </row>
    <row r="69" customFormat="false" ht="15" hidden="false" customHeight="false" outlineLevel="0" collapsed="false">
      <c r="A69" s="10"/>
      <c r="B69" s="10"/>
      <c r="C69" s="11"/>
      <c r="D69" s="10"/>
      <c r="E69" s="10"/>
    </row>
    <row r="70" customFormat="false" ht="15" hidden="false" customHeight="false" outlineLevel="0" collapsed="false">
      <c r="A70" s="10"/>
      <c r="B70" s="10"/>
      <c r="C70" s="11"/>
      <c r="D70" s="10"/>
      <c r="E70" s="10"/>
    </row>
    <row r="71" customFormat="false" ht="15" hidden="false" customHeight="false" outlineLevel="0" collapsed="false">
      <c r="A71" s="10"/>
      <c r="B71" s="10"/>
      <c r="C71" s="11"/>
      <c r="D71" s="10"/>
      <c r="E71" s="10"/>
    </row>
    <row r="72" customFormat="false" ht="15" hidden="false" customHeight="false" outlineLevel="0" collapsed="false">
      <c r="A72" s="10"/>
      <c r="B72" s="10"/>
      <c r="C72" s="11"/>
      <c r="D72" s="10"/>
      <c r="E72" s="10"/>
    </row>
    <row r="73" customFormat="false" ht="15" hidden="false" customHeight="false" outlineLevel="0" collapsed="false">
      <c r="A73" s="10"/>
      <c r="B73" s="10"/>
      <c r="C73" s="11"/>
      <c r="D73" s="10"/>
      <c r="E73" s="10"/>
    </row>
    <row r="74" customFormat="false" ht="15" hidden="false" customHeight="false" outlineLevel="0" collapsed="false">
      <c r="A74" s="10"/>
      <c r="B74" s="10"/>
      <c r="C74" s="11"/>
      <c r="D74" s="10"/>
      <c r="E74" s="10"/>
    </row>
    <row r="75" customFormat="false" ht="15" hidden="false" customHeight="false" outlineLevel="0" collapsed="false">
      <c r="A75" s="10"/>
      <c r="B75" s="10"/>
      <c r="C75" s="11"/>
      <c r="D75" s="10"/>
      <c r="E75" s="10"/>
    </row>
    <row r="76" customFormat="false" ht="15" hidden="false" customHeight="false" outlineLevel="0" collapsed="false">
      <c r="A76" s="10"/>
      <c r="B76" s="10"/>
      <c r="C76" s="11"/>
      <c r="D76" s="10"/>
      <c r="E76" s="10"/>
    </row>
    <row r="77" customFormat="false" ht="15" hidden="false" customHeight="false" outlineLevel="0" collapsed="false">
      <c r="A77" s="10"/>
      <c r="B77" s="10"/>
      <c r="C77" s="11"/>
      <c r="D77" s="10"/>
      <c r="E77" s="10"/>
    </row>
    <row r="78" customFormat="false" ht="15" hidden="false" customHeight="false" outlineLevel="0" collapsed="false">
      <c r="A78" s="10"/>
      <c r="B78" s="10"/>
      <c r="C78" s="11"/>
      <c r="D78" s="10"/>
      <c r="E78" s="10"/>
    </row>
    <row r="79" customFormat="false" ht="15" hidden="false" customHeight="false" outlineLevel="0" collapsed="false">
      <c r="A79" s="10"/>
      <c r="B79" s="10"/>
      <c r="C79" s="11"/>
      <c r="D79" s="10"/>
      <c r="E79" s="10"/>
    </row>
    <row r="80" customFormat="false" ht="15" hidden="false" customHeight="false" outlineLevel="0" collapsed="false">
      <c r="A80" s="10"/>
      <c r="B80" s="10"/>
      <c r="C80" s="11"/>
      <c r="D80" s="10"/>
      <c r="E80" s="10"/>
    </row>
    <row r="81" customFormat="false" ht="15" hidden="false" customHeight="false" outlineLevel="0" collapsed="false">
      <c r="A81" s="10"/>
      <c r="B81" s="10"/>
      <c r="C81" s="11"/>
      <c r="D81" s="10"/>
      <c r="E81" s="10"/>
    </row>
    <row r="82" customFormat="false" ht="15" hidden="false" customHeight="false" outlineLevel="0" collapsed="false">
      <c r="A82" s="10"/>
      <c r="B82" s="10"/>
      <c r="C82" s="11"/>
      <c r="D82" s="10"/>
      <c r="E82" s="10"/>
    </row>
    <row r="83" customFormat="false" ht="15" hidden="false" customHeight="false" outlineLevel="0" collapsed="false">
      <c r="A83" s="10"/>
      <c r="B83" s="10"/>
      <c r="C83" s="11"/>
      <c r="D83" s="10"/>
      <c r="E83" s="10"/>
    </row>
    <row r="84" customFormat="false" ht="15" hidden="false" customHeight="false" outlineLevel="0" collapsed="false">
      <c r="A84" s="10"/>
      <c r="B84" s="10"/>
      <c r="C84" s="11"/>
      <c r="D84" s="10"/>
      <c r="E84" s="10"/>
    </row>
    <row r="85" customFormat="false" ht="15" hidden="false" customHeight="false" outlineLevel="0" collapsed="false">
      <c r="A85" s="10"/>
      <c r="B85" s="10"/>
      <c r="C85" s="11"/>
      <c r="D85" s="10"/>
      <c r="E85" s="10"/>
    </row>
    <row r="86" customFormat="false" ht="15" hidden="false" customHeight="false" outlineLevel="0" collapsed="false">
      <c r="A86" s="10"/>
      <c r="B86" s="10"/>
      <c r="C86" s="11"/>
      <c r="D86" s="10"/>
      <c r="E86" s="10"/>
    </row>
    <row r="87" customFormat="false" ht="15" hidden="false" customHeight="false" outlineLevel="0" collapsed="false">
      <c r="A87" s="10"/>
      <c r="B87" s="10"/>
      <c r="C87" s="11"/>
      <c r="D87" s="10"/>
      <c r="E87" s="10"/>
    </row>
    <row r="88" customFormat="false" ht="15" hidden="false" customHeight="false" outlineLevel="0" collapsed="false">
      <c r="A88" s="10"/>
      <c r="B88" s="10"/>
      <c r="C88" s="11"/>
      <c r="D88" s="10"/>
      <c r="E88" s="10"/>
    </row>
    <row r="89" customFormat="false" ht="15" hidden="false" customHeight="false" outlineLevel="0" collapsed="false">
      <c r="A89" s="10"/>
      <c r="B89" s="10"/>
      <c r="C89" s="11"/>
      <c r="D89" s="10"/>
      <c r="E89" s="10"/>
    </row>
    <row r="90" customFormat="false" ht="15" hidden="false" customHeight="false" outlineLevel="0" collapsed="false">
      <c r="A90" s="10"/>
      <c r="B90" s="10"/>
      <c r="C90" s="11"/>
      <c r="D90" s="10"/>
      <c r="E90" s="10"/>
    </row>
    <row r="91" customFormat="false" ht="15" hidden="false" customHeight="false" outlineLevel="0" collapsed="false">
      <c r="A91" s="10"/>
      <c r="B91" s="10"/>
      <c r="C91" s="11"/>
      <c r="D91" s="10"/>
      <c r="E91" s="10"/>
    </row>
    <row r="92" customFormat="false" ht="15" hidden="false" customHeight="false" outlineLevel="0" collapsed="false">
      <c r="A92" s="10"/>
      <c r="B92" s="10"/>
      <c r="C92" s="11"/>
      <c r="D92" s="10"/>
      <c r="E92" s="10"/>
    </row>
    <row r="93" customFormat="false" ht="15" hidden="false" customHeight="false" outlineLevel="0" collapsed="false">
      <c r="A93" s="10"/>
      <c r="B93" s="10"/>
      <c r="C93" s="11"/>
      <c r="D93" s="10"/>
      <c r="E93" s="10"/>
    </row>
    <row r="94" customFormat="false" ht="15" hidden="false" customHeight="false" outlineLevel="0" collapsed="false">
      <c r="A94" s="10"/>
      <c r="B94" s="10"/>
      <c r="C94" s="11"/>
      <c r="D94" s="10"/>
      <c r="E94" s="10"/>
    </row>
    <row r="95" customFormat="false" ht="15" hidden="false" customHeight="false" outlineLevel="0" collapsed="false">
      <c r="A95" s="10"/>
      <c r="B95" s="10"/>
      <c r="C95" s="11"/>
      <c r="D95" s="10"/>
      <c r="E95" s="10"/>
    </row>
    <row r="96" customFormat="false" ht="15" hidden="false" customHeight="false" outlineLevel="0" collapsed="false">
      <c r="A96" s="10"/>
      <c r="B96" s="10"/>
      <c r="C96" s="11"/>
      <c r="D96" s="10"/>
      <c r="E96" s="10"/>
    </row>
    <row r="97" customFormat="false" ht="15" hidden="false" customHeight="false" outlineLevel="0" collapsed="false">
      <c r="A97" s="10"/>
      <c r="B97" s="10"/>
      <c r="C97" s="11"/>
      <c r="D97" s="10"/>
      <c r="E97" s="10"/>
    </row>
    <row r="98" customFormat="false" ht="15" hidden="false" customHeight="false" outlineLevel="0" collapsed="false">
      <c r="A98" s="10"/>
      <c r="B98" s="10"/>
      <c r="C98" s="11"/>
      <c r="D98" s="10"/>
      <c r="E98" s="10"/>
    </row>
    <row r="99" customFormat="false" ht="15" hidden="false" customHeight="false" outlineLevel="0" collapsed="false">
      <c r="A99" s="10"/>
      <c r="B99" s="10"/>
      <c r="C99" s="11"/>
      <c r="D99" s="10"/>
      <c r="E99" s="10"/>
    </row>
    <row r="100" customFormat="false" ht="15" hidden="false" customHeight="false" outlineLevel="0" collapsed="false">
      <c r="A100" s="10"/>
      <c r="B100" s="10"/>
      <c r="C100" s="11"/>
      <c r="D100" s="10"/>
      <c r="E100" s="10"/>
    </row>
    <row r="101" customFormat="false" ht="15" hidden="false" customHeight="false" outlineLevel="0" collapsed="false">
      <c r="A101" s="10"/>
      <c r="B101" s="10"/>
      <c r="C101" s="11"/>
      <c r="D101" s="10"/>
      <c r="E101" s="10"/>
    </row>
    <row r="102" customFormat="false" ht="15" hidden="false" customHeight="false" outlineLevel="0" collapsed="false">
      <c r="A102" s="10"/>
      <c r="B102" s="10"/>
      <c r="C102" s="11"/>
      <c r="D102" s="10"/>
      <c r="E102" s="10"/>
    </row>
    <row r="103" customFormat="false" ht="15" hidden="false" customHeight="false" outlineLevel="0" collapsed="false">
      <c r="A103" s="10"/>
      <c r="B103" s="10"/>
      <c r="C103" s="11"/>
      <c r="D103" s="10"/>
      <c r="E103" s="10"/>
    </row>
    <row r="104" customFormat="false" ht="15" hidden="false" customHeight="false" outlineLevel="0" collapsed="false">
      <c r="A104" s="10"/>
      <c r="B104" s="10"/>
      <c r="C104" s="11"/>
      <c r="D104" s="10"/>
      <c r="E104" s="10"/>
    </row>
    <row r="105" customFormat="false" ht="15" hidden="false" customHeight="false" outlineLevel="0" collapsed="false">
      <c r="A105" s="10"/>
      <c r="B105" s="10"/>
      <c r="C105" s="11"/>
      <c r="D105" s="10"/>
      <c r="E105" s="10"/>
    </row>
    <row r="106" customFormat="false" ht="15" hidden="false" customHeight="false" outlineLevel="0" collapsed="false">
      <c r="A106" s="10"/>
      <c r="B106" s="10"/>
      <c r="C106" s="11"/>
      <c r="D106" s="10"/>
      <c r="E106" s="10"/>
    </row>
    <row r="107" customFormat="false" ht="15" hidden="false" customHeight="false" outlineLevel="0" collapsed="false">
      <c r="A107" s="10"/>
      <c r="B107" s="10"/>
      <c r="C107" s="11"/>
      <c r="D107" s="10"/>
      <c r="E107" s="10"/>
    </row>
    <row r="108" customFormat="false" ht="15" hidden="false" customHeight="false" outlineLevel="0" collapsed="false">
      <c r="A108" s="10"/>
      <c r="B108" s="10"/>
      <c r="C108" s="11"/>
      <c r="D108" s="10"/>
      <c r="E108" s="10"/>
    </row>
    <row r="109" customFormat="false" ht="15" hidden="false" customHeight="false" outlineLevel="0" collapsed="false">
      <c r="A109" s="10"/>
      <c r="B109" s="10"/>
      <c r="C109" s="11"/>
      <c r="D109" s="10"/>
      <c r="E109" s="10"/>
    </row>
    <row r="110" customFormat="false" ht="15" hidden="false" customHeight="false" outlineLevel="0" collapsed="false">
      <c r="A110" s="10"/>
      <c r="B110" s="10"/>
      <c r="C110" s="11"/>
      <c r="D110" s="10"/>
      <c r="E110" s="10"/>
    </row>
    <row r="111" customFormat="false" ht="15" hidden="false" customHeight="false" outlineLevel="0" collapsed="false">
      <c r="A111" s="10"/>
      <c r="B111" s="10"/>
      <c r="C111" s="11"/>
      <c r="D111" s="10"/>
      <c r="E111" s="10"/>
    </row>
    <row r="112" customFormat="false" ht="15" hidden="false" customHeight="false" outlineLevel="0" collapsed="false">
      <c r="A112" s="10"/>
      <c r="B112" s="10"/>
      <c r="C112" s="11"/>
      <c r="D112" s="10"/>
      <c r="E112" s="10"/>
    </row>
    <row r="113" customFormat="false" ht="15" hidden="false" customHeight="false" outlineLevel="0" collapsed="false">
      <c r="A113" s="10"/>
      <c r="B113" s="10"/>
      <c r="C113" s="11"/>
      <c r="D113" s="10"/>
      <c r="E113" s="10"/>
    </row>
    <row r="114" customFormat="false" ht="15" hidden="false" customHeight="false" outlineLevel="0" collapsed="false">
      <c r="A114" s="10"/>
      <c r="B114" s="10"/>
      <c r="C114" s="11"/>
      <c r="D114" s="10"/>
      <c r="E114" s="10"/>
    </row>
    <row r="115" customFormat="false" ht="15" hidden="false" customHeight="false" outlineLevel="0" collapsed="false">
      <c r="A115" s="10"/>
      <c r="B115" s="10"/>
      <c r="C115" s="11"/>
      <c r="D115" s="10"/>
      <c r="E115" s="10"/>
    </row>
    <row r="116" customFormat="false" ht="15" hidden="false" customHeight="false" outlineLevel="0" collapsed="false">
      <c r="A116" s="10"/>
      <c r="B116" s="10"/>
      <c r="C116" s="11"/>
      <c r="D116" s="10"/>
      <c r="E116" s="10"/>
    </row>
    <row r="117" customFormat="false" ht="15" hidden="false" customHeight="false" outlineLevel="0" collapsed="false">
      <c r="A117" s="10"/>
      <c r="B117" s="10"/>
      <c r="C117" s="11"/>
      <c r="D117" s="10"/>
      <c r="E117" s="10"/>
    </row>
    <row r="118" customFormat="false" ht="15" hidden="false" customHeight="false" outlineLevel="0" collapsed="false">
      <c r="A118" s="10"/>
      <c r="B118" s="10"/>
      <c r="C118" s="11"/>
      <c r="D118" s="10"/>
      <c r="E118" s="10"/>
    </row>
    <row r="119" customFormat="false" ht="15" hidden="false" customHeight="false" outlineLevel="0" collapsed="false">
      <c r="A119" s="10"/>
      <c r="B119" s="10"/>
      <c r="C119" s="11"/>
      <c r="D119" s="10"/>
      <c r="E119" s="10"/>
    </row>
    <row r="120" customFormat="false" ht="15" hidden="false" customHeight="false" outlineLevel="0" collapsed="false">
      <c r="A120" s="10"/>
      <c r="B120" s="10"/>
      <c r="C120" s="11"/>
      <c r="D120" s="10"/>
      <c r="E120" s="10"/>
    </row>
    <row r="121" customFormat="false" ht="15" hidden="false" customHeight="false" outlineLevel="0" collapsed="false">
      <c r="A121" s="10"/>
      <c r="B121" s="10"/>
      <c r="C121" s="11"/>
      <c r="D121" s="10"/>
      <c r="E121" s="10"/>
    </row>
    <row r="122" customFormat="false" ht="15" hidden="false" customHeight="false" outlineLevel="0" collapsed="false">
      <c r="A122" s="10"/>
      <c r="B122" s="10"/>
      <c r="C122" s="11"/>
      <c r="D122" s="10"/>
      <c r="E122" s="10"/>
    </row>
    <row r="123" customFormat="false" ht="15" hidden="false" customHeight="false" outlineLevel="0" collapsed="false">
      <c r="A123" s="10"/>
      <c r="B123" s="10"/>
      <c r="C123" s="11"/>
      <c r="D123" s="10"/>
      <c r="E123" s="10"/>
    </row>
    <row r="124" customFormat="false" ht="15" hidden="false" customHeight="false" outlineLevel="0" collapsed="false">
      <c r="A124" s="10"/>
      <c r="B124" s="10"/>
      <c r="C124" s="11"/>
      <c r="D124" s="10"/>
      <c r="E124" s="10"/>
    </row>
    <row r="125" customFormat="false" ht="15" hidden="false" customHeight="false" outlineLevel="0" collapsed="false">
      <c r="A125" s="10"/>
      <c r="B125" s="10"/>
      <c r="C125" s="11"/>
      <c r="D125" s="10"/>
      <c r="E125" s="10"/>
    </row>
    <row r="126" customFormat="false" ht="15" hidden="false" customHeight="false" outlineLevel="0" collapsed="false">
      <c r="A126" s="10"/>
      <c r="B126" s="10"/>
      <c r="C126" s="11"/>
      <c r="D126" s="10"/>
      <c r="E126" s="10"/>
    </row>
    <row r="127" customFormat="false" ht="15" hidden="false" customHeight="false" outlineLevel="0" collapsed="false">
      <c r="A127" s="10"/>
      <c r="B127" s="10"/>
      <c r="C127" s="11"/>
      <c r="D127" s="10"/>
      <c r="E127" s="10"/>
    </row>
    <row r="128" customFormat="false" ht="15" hidden="false" customHeight="false" outlineLevel="0" collapsed="false">
      <c r="A128" s="10"/>
      <c r="B128" s="10"/>
      <c r="C128" s="11"/>
      <c r="D128" s="10"/>
      <c r="E128" s="10"/>
    </row>
    <row r="129" customFormat="false" ht="15" hidden="false" customHeight="false" outlineLevel="0" collapsed="false">
      <c r="A129" s="10"/>
      <c r="B129" s="10"/>
      <c r="C129" s="11"/>
      <c r="D129" s="10"/>
      <c r="E129" s="10"/>
    </row>
    <row r="130" customFormat="false" ht="15" hidden="false" customHeight="false" outlineLevel="0" collapsed="false">
      <c r="A130" s="10"/>
      <c r="B130" s="10"/>
      <c r="C130" s="11"/>
      <c r="D130" s="10"/>
      <c r="E130" s="10"/>
    </row>
    <row r="131" customFormat="false" ht="15" hidden="false" customHeight="false" outlineLevel="0" collapsed="false">
      <c r="A131" s="10"/>
      <c r="B131" s="10"/>
      <c r="C131" s="11"/>
      <c r="D131" s="10"/>
      <c r="E131" s="10"/>
    </row>
    <row r="132" customFormat="false" ht="15" hidden="false" customHeight="false" outlineLevel="0" collapsed="false">
      <c r="A132" s="10"/>
      <c r="B132" s="10"/>
      <c r="C132" s="11"/>
      <c r="D132" s="10"/>
      <c r="E132" s="10"/>
    </row>
    <row r="133" customFormat="false" ht="15" hidden="false" customHeight="false" outlineLevel="0" collapsed="false">
      <c r="A133" s="10"/>
      <c r="B133" s="10"/>
      <c r="C133" s="11"/>
      <c r="D133" s="10"/>
      <c r="E133" s="10"/>
    </row>
    <row r="134" customFormat="false" ht="15" hidden="false" customHeight="false" outlineLevel="0" collapsed="false">
      <c r="A134" s="10"/>
      <c r="B134" s="10"/>
      <c r="C134" s="11"/>
      <c r="D134" s="10"/>
      <c r="E134" s="10"/>
    </row>
    <row r="135" customFormat="false" ht="15" hidden="false" customHeight="false" outlineLevel="0" collapsed="false">
      <c r="A135" s="10"/>
      <c r="B135" s="10"/>
      <c r="C135" s="11"/>
      <c r="D135" s="10"/>
      <c r="E135" s="10"/>
    </row>
    <row r="136" customFormat="false" ht="15" hidden="false" customHeight="false" outlineLevel="0" collapsed="false">
      <c r="A136" s="10"/>
      <c r="B136" s="10"/>
      <c r="C136" s="11"/>
      <c r="D136" s="10"/>
      <c r="E136" s="10"/>
    </row>
    <row r="137" customFormat="false" ht="15" hidden="false" customHeight="false" outlineLevel="0" collapsed="false">
      <c r="A137" s="10"/>
      <c r="B137" s="10"/>
      <c r="C137" s="11"/>
      <c r="D137" s="10"/>
      <c r="E137" s="10"/>
    </row>
    <row r="138" customFormat="false" ht="15" hidden="false" customHeight="false" outlineLevel="0" collapsed="false">
      <c r="A138" s="10"/>
      <c r="B138" s="10"/>
      <c r="C138" s="11"/>
      <c r="D138" s="10"/>
      <c r="E138" s="10"/>
    </row>
    <row r="139" customFormat="false" ht="15" hidden="false" customHeight="false" outlineLevel="0" collapsed="false">
      <c r="A139" s="10"/>
      <c r="B139" s="10"/>
      <c r="C139" s="11"/>
      <c r="D139" s="10"/>
      <c r="E139" s="10"/>
    </row>
    <row r="140" customFormat="false" ht="15" hidden="false" customHeight="false" outlineLevel="0" collapsed="false">
      <c r="A140" s="10"/>
      <c r="B140" s="10"/>
      <c r="C140" s="11"/>
      <c r="D140" s="10"/>
      <c r="E140" s="10"/>
    </row>
    <row r="141" customFormat="false" ht="15" hidden="false" customHeight="false" outlineLevel="0" collapsed="false">
      <c r="A141" s="10"/>
      <c r="B141" s="10"/>
      <c r="C141" s="11"/>
      <c r="D141" s="10"/>
      <c r="E141" s="10"/>
    </row>
    <row r="142" customFormat="false" ht="15" hidden="false" customHeight="false" outlineLevel="0" collapsed="false">
      <c r="A142" s="10"/>
      <c r="B142" s="10"/>
      <c r="C142" s="11"/>
      <c r="D142" s="10"/>
      <c r="E142" s="10"/>
    </row>
    <row r="143" customFormat="false" ht="15" hidden="false" customHeight="false" outlineLevel="0" collapsed="false">
      <c r="A143" s="10"/>
      <c r="B143" s="10"/>
      <c r="C143" s="11"/>
      <c r="D143" s="10"/>
      <c r="E143" s="10"/>
    </row>
    <row r="144" customFormat="false" ht="15" hidden="false" customHeight="false" outlineLevel="0" collapsed="false">
      <c r="A144" s="10"/>
      <c r="B144" s="10"/>
      <c r="C144" s="11"/>
      <c r="D144" s="10"/>
      <c r="E144" s="10"/>
    </row>
    <row r="145" customFormat="false" ht="15" hidden="false" customHeight="false" outlineLevel="0" collapsed="false">
      <c r="A145" s="10"/>
      <c r="B145" s="10"/>
      <c r="C145" s="11"/>
      <c r="D145" s="10"/>
      <c r="E145" s="10"/>
    </row>
    <row r="146" customFormat="false" ht="15" hidden="false" customHeight="false" outlineLevel="0" collapsed="false">
      <c r="A146" s="10"/>
      <c r="B146" s="10"/>
      <c r="C146" s="11"/>
      <c r="D146" s="10"/>
      <c r="E146" s="10"/>
    </row>
    <row r="147" customFormat="false" ht="15" hidden="false" customHeight="false" outlineLevel="0" collapsed="false">
      <c r="A147" s="10"/>
      <c r="B147" s="10"/>
      <c r="C147" s="11"/>
      <c r="D147" s="10"/>
      <c r="E147" s="10"/>
    </row>
    <row r="148" customFormat="false" ht="15" hidden="false" customHeight="false" outlineLevel="0" collapsed="false">
      <c r="A148" s="10"/>
      <c r="B148" s="10"/>
      <c r="C148" s="11"/>
      <c r="D148" s="10"/>
      <c r="E148" s="10"/>
    </row>
    <row r="149" customFormat="false" ht="15" hidden="false" customHeight="false" outlineLevel="0" collapsed="false">
      <c r="A149" s="10"/>
      <c r="B149" s="10"/>
      <c r="C149" s="11"/>
      <c r="D149" s="10"/>
      <c r="E149" s="10"/>
    </row>
    <row r="150" customFormat="false" ht="15" hidden="false" customHeight="false" outlineLevel="0" collapsed="false">
      <c r="A150" s="10"/>
      <c r="B150" s="10"/>
      <c r="C150" s="11"/>
      <c r="D150" s="10"/>
      <c r="E150" s="10"/>
    </row>
    <row r="151" customFormat="false" ht="15" hidden="false" customHeight="false" outlineLevel="0" collapsed="false">
      <c r="A151" s="10"/>
      <c r="B151" s="10"/>
      <c r="C151" s="11"/>
      <c r="D151" s="10"/>
      <c r="E151" s="10"/>
    </row>
    <row r="152" customFormat="false" ht="15" hidden="false" customHeight="false" outlineLevel="0" collapsed="false">
      <c r="A152" s="10"/>
      <c r="B152" s="10"/>
      <c r="C152" s="11"/>
      <c r="D152" s="10"/>
      <c r="E152" s="10"/>
    </row>
    <row r="153" customFormat="false" ht="15" hidden="false" customHeight="false" outlineLevel="0" collapsed="false">
      <c r="A153" s="10"/>
      <c r="B153" s="10"/>
      <c r="C153" s="11"/>
      <c r="D153" s="10"/>
      <c r="E153" s="10"/>
    </row>
    <row r="154" customFormat="false" ht="15" hidden="false" customHeight="false" outlineLevel="0" collapsed="false">
      <c r="A154" s="10"/>
      <c r="B154" s="10"/>
      <c r="C154" s="11"/>
      <c r="D154" s="10"/>
      <c r="E154" s="10"/>
    </row>
    <row r="155" customFormat="false" ht="15" hidden="false" customHeight="false" outlineLevel="0" collapsed="false">
      <c r="A155" s="10"/>
      <c r="B155" s="10"/>
      <c r="C155" s="11"/>
      <c r="D155" s="10"/>
      <c r="E155" s="10"/>
    </row>
    <row r="156" customFormat="false" ht="15" hidden="false" customHeight="false" outlineLevel="0" collapsed="false">
      <c r="A156" s="10"/>
      <c r="B156" s="10"/>
      <c r="C156" s="11"/>
      <c r="D156" s="10"/>
      <c r="E156" s="10"/>
    </row>
    <row r="157" customFormat="false" ht="15" hidden="false" customHeight="false" outlineLevel="0" collapsed="false">
      <c r="A157" s="10"/>
      <c r="B157" s="10"/>
      <c r="C157" s="11"/>
      <c r="D157" s="10"/>
      <c r="E157" s="10"/>
    </row>
    <row r="158" customFormat="false" ht="15" hidden="false" customHeight="false" outlineLevel="0" collapsed="false">
      <c r="A158" s="10"/>
      <c r="B158" s="10"/>
      <c r="C158" s="11"/>
      <c r="D158" s="10"/>
      <c r="E158" s="10"/>
    </row>
    <row r="159" customFormat="false" ht="15" hidden="false" customHeight="false" outlineLevel="0" collapsed="false">
      <c r="A159" s="10"/>
      <c r="B159" s="10"/>
      <c r="C159" s="11"/>
      <c r="D159" s="10"/>
      <c r="E159" s="10"/>
    </row>
    <row r="160" customFormat="false" ht="15" hidden="false" customHeight="false" outlineLevel="0" collapsed="false">
      <c r="A160" s="10"/>
      <c r="B160" s="10"/>
      <c r="C160" s="11"/>
      <c r="D160" s="10"/>
      <c r="E160" s="10"/>
    </row>
    <row r="161" customFormat="false" ht="15" hidden="false" customHeight="false" outlineLevel="0" collapsed="false">
      <c r="A161" s="10"/>
      <c r="B161" s="10"/>
      <c r="C161" s="11"/>
      <c r="D161" s="10"/>
      <c r="E161" s="10"/>
    </row>
    <row r="162" customFormat="false" ht="15" hidden="false" customHeight="false" outlineLevel="0" collapsed="false">
      <c r="A162" s="10"/>
      <c r="B162" s="10"/>
      <c r="C162" s="11"/>
      <c r="D162" s="10"/>
      <c r="E162" s="10"/>
    </row>
    <row r="163" customFormat="false" ht="15" hidden="false" customHeight="false" outlineLevel="0" collapsed="false">
      <c r="A163" s="10"/>
      <c r="B163" s="10"/>
      <c r="C163" s="11"/>
      <c r="D163" s="10"/>
      <c r="E163" s="10"/>
    </row>
    <row r="164" customFormat="false" ht="15" hidden="false" customHeight="false" outlineLevel="0" collapsed="false">
      <c r="A164" s="10"/>
      <c r="B164" s="10"/>
      <c r="C164" s="11"/>
      <c r="D164" s="10"/>
      <c r="E164" s="10"/>
    </row>
    <row r="165" customFormat="false" ht="15" hidden="false" customHeight="false" outlineLevel="0" collapsed="false">
      <c r="A165" s="10"/>
      <c r="B165" s="10"/>
      <c r="C165" s="11"/>
      <c r="D165" s="10"/>
      <c r="E165" s="10"/>
    </row>
    <row r="166" customFormat="false" ht="15" hidden="false" customHeight="false" outlineLevel="0" collapsed="false">
      <c r="A166" s="10"/>
      <c r="B166" s="10"/>
      <c r="C166" s="11"/>
      <c r="D166" s="10"/>
      <c r="E166" s="10"/>
    </row>
    <row r="167" customFormat="false" ht="15" hidden="false" customHeight="false" outlineLevel="0" collapsed="false">
      <c r="A167" s="10"/>
      <c r="B167" s="10"/>
      <c r="C167" s="11"/>
      <c r="D167" s="10"/>
      <c r="E167" s="10"/>
    </row>
    <row r="168" customFormat="false" ht="15" hidden="false" customHeight="false" outlineLevel="0" collapsed="false">
      <c r="A168" s="10"/>
      <c r="B168" s="10"/>
      <c r="C168" s="11"/>
      <c r="D168" s="10"/>
      <c r="E168" s="10"/>
    </row>
    <row r="169" customFormat="false" ht="15" hidden="false" customHeight="false" outlineLevel="0" collapsed="false">
      <c r="A169" s="10"/>
      <c r="B169" s="10"/>
      <c r="C169" s="11"/>
      <c r="D169" s="10"/>
      <c r="E169" s="10"/>
    </row>
    <row r="170" customFormat="false" ht="15" hidden="false" customHeight="false" outlineLevel="0" collapsed="false">
      <c r="A170" s="10"/>
      <c r="B170" s="10"/>
      <c r="C170" s="11"/>
      <c r="D170" s="10"/>
      <c r="E170" s="10"/>
    </row>
    <row r="171" customFormat="false" ht="15" hidden="false" customHeight="false" outlineLevel="0" collapsed="false">
      <c r="A171" s="10"/>
      <c r="B171" s="10"/>
      <c r="C171" s="11"/>
      <c r="D171" s="10"/>
      <c r="E171" s="10"/>
    </row>
    <row r="172" customFormat="false" ht="15" hidden="false" customHeight="false" outlineLevel="0" collapsed="false">
      <c r="A172" s="10"/>
      <c r="B172" s="10"/>
      <c r="C172" s="11"/>
      <c r="D172" s="10"/>
      <c r="E172" s="10"/>
    </row>
    <row r="173" customFormat="false" ht="15" hidden="false" customHeight="false" outlineLevel="0" collapsed="false">
      <c r="A173" s="10"/>
      <c r="B173" s="10"/>
      <c r="C173" s="11"/>
      <c r="D173" s="10"/>
      <c r="E173" s="10"/>
    </row>
    <row r="174" customFormat="false" ht="15" hidden="false" customHeight="false" outlineLevel="0" collapsed="false">
      <c r="A174" s="10"/>
      <c r="B174" s="10"/>
      <c r="C174" s="11"/>
      <c r="D174" s="10"/>
      <c r="E174" s="10"/>
    </row>
    <row r="175" customFormat="false" ht="15" hidden="false" customHeight="false" outlineLevel="0" collapsed="false">
      <c r="A175" s="10"/>
      <c r="B175" s="10"/>
      <c r="C175" s="11"/>
      <c r="D175" s="10"/>
      <c r="E175" s="10"/>
    </row>
    <row r="176" customFormat="false" ht="15" hidden="false" customHeight="false" outlineLevel="0" collapsed="false">
      <c r="A176" s="10"/>
      <c r="B176" s="10"/>
      <c r="C176" s="11"/>
      <c r="D176" s="10"/>
      <c r="E176" s="10"/>
    </row>
    <row r="177" customFormat="false" ht="15" hidden="false" customHeight="false" outlineLevel="0" collapsed="false">
      <c r="A177" s="10"/>
      <c r="B177" s="10"/>
      <c r="C177" s="11"/>
      <c r="D177" s="10"/>
      <c r="E177" s="10"/>
    </row>
    <row r="178" customFormat="false" ht="15" hidden="false" customHeight="false" outlineLevel="0" collapsed="false">
      <c r="A178" s="10"/>
      <c r="B178" s="10"/>
      <c r="C178" s="11"/>
      <c r="D178" s="10"/>
      <c r="E178" s="10"/>
    </row>
    <row r="179" customFormat="false" ht="15" hidden="false" customHeight="false" outlineLevel="0" collapsed="false">
      <c r="A179" s="10"/>
      <c r="B179" s="10"/>
      <c r="C179" s="11"/>
      <c r="D179" s="10"/>
      <c r="E179" s="10"/>
    </row>
    <row r="180" customFormat="false" ht="15" hidden="false" customHeight="false" outlineLevel="0" collapsed="false">
      <c r="A180" s="10"/>
      <c r="B180" s="10"/>
      <c r="C180" s="11"/>
      <c r="D180" s="10"/>
      <c r="E180" s="10"/>
    </row>
    <row r="181" customFormat="false" ht="15" hidden="false" customHeight="false" outlineLevel="0" collapsed="false">
      <c r="A181" s="10"/>
      <c r="B181" s="10"/>
      <c r="C181" s="11"/>
      <c r="D181" s="10"/>
      <c r="E181" s="10"/>
    </row>
    <row r="182" customFormat="false" ht="15" hidden="false" customHeight="false" outlineLevel="0" collapsed="false">
      <c r="A182" s="10"/>
      <c r="B182" s="10"/>
      <c r="C182" s="11"/>
      <c r="D182" s="10"/>
      <c r="E182" s="10"/>
    </row>
    <row r="183" customFormat="false" ht="15" hidden="false" customHeight="false" outlineLevel="0" collapsed="false">
      <c r="A183" s="10"/>
      <c r="B183" s="10"/>
      <c r="C183" s="11"/>
      <c r="D183" s="10"/>
      <c r="E183" s="10"/>
    </row>
    <row r="184" customFormat="false" ht="15" hidden="false" customHeight="false" outlineLevel="0" collapsed="false">
      <c r="A184" s="10"/>
      <c r="B184" s="10"/>
      <c r="C184" s="11"/>
      <c r="D184" s="10"/>
      <c r="E184" s="10"/>
    </row>
    <row r="185" customFormat="false" ht="15" hidden="false" customHeight="false" outlineLevel="0" collapsed="false">
      <c r="A185" s="10"/>
      <c r="B185" s="10"/>
      <c r="C185" s="11"/>
      <c r="D185" s="10"/>
      <c r="E185" s="10"/>
    </row>
    <row r="186" customFormat="false" ht="15" hidden="false" customHeight="false" outlineLevel="0" collapsed="false">
      <c r="A186" s="10"/>
      <c r="B186" s="10"/>
      <c r="C186" s="11"/>
      <c r="D186" s="10"/>
      <c r="E186" s="10"/>
    </row>
    <row r="187" customFormat="false" ht="15" hidden="false" customHeight="false" outlineLevel="0" collapsed="false">
      <c r="A187" s="10"/>
      <c r="B187" s="10"/>
      <c r="C187" s="11"/>
      <c r="D187" s="10"/>
      <c r="E187" s="10"/>
    </row>
    <row r="188" customFormat="false" ht="15" hidden="false" customHeight="false" outlineLevel="0" collapsed="false">
      <c r="A188" s="10"/>
      <c r="B188" s="10"/>
      <c r="C188" s="11"/>
      <c r="D188" s="10"/>
      <c r="E188" s="10"/>
    </row>
    <row r="189" customFormat="false" ht="15" hidden="false" customHeight="false" outlineLevel="0" collapsed="false">
      <c r="A189" s="10"/>
      <c r="B189" s="10"/>
      <c r="C189" s="11"/>
      <c r="D189" s="10"/>
      <c r="E189" s="10"/>
    </row>
    <row r="190" customFormat="false" ht="15" hidden="false" customHeight="false" outlineLevel="0" collapsed="false">
      <c r="A190" s="10"/>
      <c r="B190" s="10"/>
      <c r="C190" s="11"/>
      <c r="D190" s="10"/>
      <c r="E190" s="10"/>
    </row>
    <row r="191" customFormat="false" ht="15" hidden="false" customHeight="false" outlineLevel="0" collapsed="false">
      <c r="A191" s="10"/>
      <c r="B191" s="10"/>
      <c r="C191" s="11"/>
      <c r="D191" s="10"/>
      <c r="E191" s="10"/>
    </row>
    <row r="192" customFormat="false" ht="15" hidden="false" customHeight="false" outlineLevel="0" collapsed="false">
      <c r="A192" s="10"/>
      <c r="B192" s="10"/>
      <c r="C192" s="11"/>
      <c r="D192" s="10"/>
      <c r="E192" s="10"/>
    </row>
    <row r="193" customFormat="false" ht="15" hidden="false" customHeight="false" outlineLevel="0" collapsed="false">
      <c r="A193" s="10"/>
      <c r="B193" s="10"/>
      <c r="C193" s="11"/>
      <c r="D193" s="10"/>
      <c r="E193" s="10"/>
    </row>
    <row r="194" customFormat="false" ht="15" hidden="false" customHeight="false" outlineLevel="0" collapsed="false">
      <c r="A194" s="10"/>
      <c r="B194" s="10"/>
      <c r="C194" s="11"/>
      <c r="D194" s="10"/>
      <c r="E194" s="10"/>
    </row>
    <row r="195" customFormat="false" ht="15" hidden="false" customHeight="false" outlineLevel="0" collapsed="false">
      <c r="A195" s="10"/>
      <c r="B195" s="10"/>
      <c r="C195" s="11"/>
      <c r="D195" s="10"/>
      <c r="E195" s="10"/>
    </row>
    <row r="196" customFormat="false" ht="15" hidden="false" customHeight="false" outlineLevel="0" collapsed="false">
      <c r="A196" s="10"/>
      <c r="B196" s="10"/>
      <c r="C196" s="11"/>
      <c r="D196" s="10"/>
      <c r="E196" s="10"/>
    </row>
    <row r="197" customFormat="false" ht="15" hidden="false" customHeight="false" outlineLevel="0" collapsed="false">
      <c r="A197" s="10"/>
      <c r="B197" s="10"/>
      <c r="C197" s="11"/>
      <c r="D197" s="10"/>
      <c r="E197" s="10"/>
    </row>
    <row r="198" customFormat="false" ht="15" hidden="false" customHeight="false" outlineLevel="0" collapsed="false">
      <c r="A198" s="10"/>
      <c r="B198" s="10"/>
      <c r="C198" s="11"/>
      <c r="D198" s="10"/>
      <c r="E198" s="10"/>
    </row>
    <row r="199" customFormat="false" ht="15" hidden="false" customHeight="false" outlineLevel="0" collapsed="false">
      <c r="A199" s="10"/>
      <c r="B199" s="10"/>
      <c r="C199" s="11"/>
      <c r="D199" s="10"/>
      <c r="E199" s="10"/>
    </row>
    <row r="200" customFormat="false" ht="15" hidden="false" customHeight="false" outlineLevel="0" collapsed="false">
      <c r="A200" s="10"/>
      <c r="B200" s="10"/>
      <c r="C200" s="11"/>
      <c r="D200" s="10"/>
      <c r="E200" s="10"/>
    </row>
    <row r="201" customFormat="false" ht="15" hidden="false" customHeight="false" outlineLevel="0" collapsed="false">
      <c r="A201" s="10"/>
      <c r="B201" s="10"/>
      <c r="C201" s="11"/>
      <c r="D201" s="10"/>
      <c r="E201" s="10"/>
    </row>
    <row r="202" customFormat="false" ht="15" hidden="false" customHeight="false" outlineLevel="0" collapsed="false">
      <c r="A202" s="10"/>
      <c r="B202" s="10"/>
      <c r="C202" s="11"/>
      <c r="D202" s="10"/>
      <c r="E202" s="10"/>
    </row>
    <row r="203" customFormat="false" ht="15" hidden="false" customHeight="false" outlineLevel="0" collapsed="false">
      <c r="A203" s="10"/>
      <c r="B203" s="10"/>
      <c r="C203" s="11"/>
      <c r="D203" s="10"/>
      <c r="E203" s="10"/>
    </row>
    <row r="204" customFormat="false" ht="15" hidden="false" customHeight="false" outlineLevel="0" collapsed="false">
      <c r="A204" s="10"/>
      <c r="B204" s="10"/>
      <c r="C204" s="11"/>
      <c r="D204" s="10"/>
      <c r="E204" s="10"/>
    </row>
    <row r="205" customFormat="false" ht="15" hidden="false" customHeight="false" outlineLevel="0" collapsed="false">
      <c r="A205" s="10"/>
      <c r="B205" s="10"/>
      <c r="C205" s="11"/>
      <c r="D205" s="10"/>
      <c r="E205" s="10"/>
    </row>
    <row r="206" customFormat="false" ht="15" hidden="false" customHeight="false" outlineLevel="0" collapsed="false">
      <c r="A206" s="10"/>
      <c r="B206" s="10"/>
      <c r="C206" s="11"/>
      <c r="D206" s="10"/>
      <c r="E206" s="10"/>
    </row>
    <row r="207" customFormat="false" ht="15" hidden="false" customHeight="false" outlineLevel="0" collapsed="false">
      <c r="A207" s="10"/>
      <c r="B207" s="10"/>
      <c r="C207" s="11"/>
      <c r="D207" s="10"/>
      <c r="E207" s="10"/>
    </row>
    <row r="208" customFormat="false" ht="15" hidden="false" customHeight="false" outlineLevel="0" collapsed="false">
      <c r="A208" s="10"/>
      <c r="B208" s="10"/>
      <c r="C208" s="11"/>
      <c r="D208" s="10"/>
      <c r="E208" s="10"/>
    </row>
    <row r="209" customFormat="false" ht="15" hidden="false" customHeight="false" outlineLevel="0" collapsed="false">
      <c r="A209" s="10"/>
      <c r="B209" s="10"/>
      <c r="C209" s="11"/>
      <c r="D209" s="10"/>
      <c r="E209" s="10"/>
    </row>
    <row r="210" customFormat="false" ht="15" hidden="false" customHeight="false" outlineLevel="0" collapsed="false">
      <c r="A210" s="10"/>
      <c r="B210" s="10"/>
      <c r="C210" s="11"/>
      <c r="D210" s="10"/>
      <c r="E210" s="10"/>
    </row>
    <row r="211" customFormat="false" ht="15" hidden="false" customHeight="false" outlineLevel="0" collapsed="false">
      <c r="A211" s="10"/>
      <c r="B211" s="10"/>
      <c r="C211" s="11"/>
      <c r="D211" s="10"/>
      <c r="E211" s="10"/>
    </row>
    <row r="212" customFormat="false" ht="15" hidden="false" customHeight="false" outlineLevel="0" collapsed="false">
      <c r="A212" s="10"/>
      <c r="B212" s="10"/>
      <c r="C212" s="11"/>
      <c r="D212" s="10"/>
      <c r="E212" s="10"/>
    </row>
    <row r="213" customFormat="false" ht="15" hidden="false" customHeight="false" outlineLevel="0" collapsed="false">
      <c r="A213" s="10"/>
      <c r="B213" s="10"/>
      <c r="C213" s="11"/>
      <c r="D213" s="10"/>
      <c r="E213" s="10"/>
    </row>
    <row r="214" customFormat="false" ht="15" hidden="false" customHeight="false" outlineLevel="0" collapsed="false">
      <c r="A214" s="10"/>
      <c r="B214" s="10"/>
      <c r="C214" s="11"/>
      <c r="D214" s="10"/>
      <c r="E214" s="10"/>
    </row>
    <row r="215" customFormat="false" ht="15" hidden="false" customHeight="false" outlineLevel="0" collapsed="false">
      <c r="A215" s="10"/>
      <c r="B215" s="10"/>
      <c r="C215" s="11"/>
      <c r="D215" s="10"/>
      <c r="E215" s="10"/>
    </row>
    <row r="216" customFormat="false" ht="15" hidden="false" customHeight="false" outlineLevel="0" collapsed="false">
      <c r="A216" s="10"/>
      <c r="B216" s="10"/>
      <c r="C216" s="11"/>
      <c r="D216" s="10"/>
      <c r="E216" s="10"/>
    </row>
    <row r="217" customFormat="false" ht="15" hidden="false" customHeight="false" outlineLevel="0" collapsed="false">
      <c r="A217" s="10"/>
      <c r="B217" s="10"/>
      <c r="C217" s="11"/>
      <c r="D217" s="10"/>
      <c r="E217" s="10"/>
    </row>
    <row r="218" customFormat="false" ht="15" hidden="false" customHeight="false" outlineLevel="0" collapsed="false">
      <c r="A218" s="10"/>
      <c r="B218" s="10"/>
      <c r="C218" s="11"/>
      <c r="D218" s="10"/>
      <c r="E218" s="10"/>
    </row>
    <row r="219" customFormat="false" ht="15" hidden="false" customHeight="false" outlineLevel="0" collapsed="false">
      <c r="A219" s="10"/>
      <c r="B219" s="10"/>
      <c r="C219" s="11"/>
      <c r="D219" s="10"/>
      <c r="E219" s="10"/>
    </row>
    <row r="220" customFormat="false" ht="15" hidden="false" customHeight="false" outlineLevel="0" collapsed="false">
      <c r="A220" s="10"/>
      <c r="B220" s="10"/>
      <c r="C220" s="11"/>
      <c r="D220" s="10"/>
      <c r="E220" s="10"/>
    </row>
    <row r="221" customFormat="false" ht="15" hidden="false" customHeight="false" outlineLevel="0" collapsed="false">
      <c r="A221" s="10"/>
      <c r="B221" s="10"/>
      <c r="C221" s="11"/>
      <c r="D221" s="10"/>
      <c r="E221" s="10"/>
    </row>
    <row r="222" customFormat="false" ht="15" hidden="false" customHeight="false" outlineLevel="0" collapsed="false">
      <c r="A222" s="10"/>
      <c r="B222" s="10"/>
      <c r="C222" s="11"/>
      <c r="D222" s="10"/>
      <c r="E222" s="10"/>
    </row>
    <row r="223" customFormat="false" ht="15" hidden="false" customHeight="false" outlineLevel="0" collapsed="false">
      <c r="A223" s="10"/>
      <c r="B223" s="10"/>
      <c r="C223" s="11"/>
      <c r="D223" s="10"/>
      <c r="E223" s="10"/>
    </row>
    <row r="224" customFormat="false" ht="15" hidden="false" customHeight="false" outlineLevel="0" collapsed="false">
      <c r="A224" s="10"/>
      <c r="B224" s="10"/>
      <c r="C224" s="11"/>
      <c r="D224" s="10"/>
      <c r="E224" s="10"/>
    </row>
    <row r="225" customFormat="false" ht="15" hidden="false" customHeight="false" outlineLevel="0" collapsed="false">
      <c r="A225" s="10"/>
      <c r="B225" s="10"/>
      <c r="C225" s="11"/>
      <c r="D225" s="10"/>
      <c r="E225" s="10"/>
    </row>
    <row r="226" customFormat="false" ht="15" hidden="false" customHeight="false" outlineLevel="0" collapsed="false">
      <c r="A226" s="10"/>
      <c r="B226" s="10"/>
      <c r="C226" s="11"/>
      <c r="D226" s="10"/>
      <c r="E226" s="10"/>
    </row>
    <row r="227" customFormat="false" ht="15" hidden="false" customHeight="false" outlineLevel="0" collapsed="false">
      <c r="A227" s="10"/>
      <c r="B227" s="10"/>
      <c r="C227" s="11"/>
      <c r="D227" s="10"/>
      <c r="E227" s="10"/>
    </row>
    <row r="228" customFormat="false" ht="15" hidden="false" customHeight="false" outlineLevel="0" collapsed="false">
      <c r="A228" s="10"/>
      <c r="B228" s="10"/>
      <c r="C228" s="11"/>
      <c r="D228" s="10"/>
      <c r="E228" s="10"/>
    </row>
    <row r="229" customFormat="false" ht="15" hidden="false" customHeight="false" outlineLevel="0" collapsed="false">
      <c r="A229" s="10"/>
      <c r="B229" s="10"/>
      <c r="C229" s="11"/>
      <c r="D229" s="10"/>
      <c r="E229" s="10"/>
    </row>
    <row r="230" customFormat="false" ht="15" hidden="false" customHeight="false" outlineLevel="0" collapsed="false">
      <c r="A230" s="10"/>
      <c r="B230" s="10"/>
      <c r="C230" s="11"/>
      <c r="D230" s="10"/>
      <c r="E230" s="10"/>
    </row>
    <row r="231" customFormat="false" ht="15" hidden="false" customHeight="false" outlineLevel="0" collapsed="false">
      <c r="A231" s="10"/>
      <c r="B231" s="10"/>
      <c r="C231" s="11"/>
      <c r="D231" s="10"/>
      <c r="E231" s="10"/>
    </row>
    <row r="232" customFormat="false" ht="15" hidden="false" customHeight="false" outlineLevel="0" collapsed="false">
      <c r="A232" s="10"/>
      <c r="B232" s="10"/>
      <c r="C232" s="11"/>
      <c r="D232" s="10"/>
      <c r="E232" s="10"/>
    </row>
    <row r="233" customFormat="false" ht="15" hidden="false" customHeight="false" outlineLevel="0" collapsed="false">
      <c r="A233" s="10"/>
      <c r="B233" s="10"/>
      <c r="C233" s="11"/>
      <c r="D233" s="10"/>
      <c r="E233" s="10"/>
    </row>
    <row r="234" customFormat="false" ht="15" hidden="false" customHeight="false" outlineLevel="0" collapsed="false">
      <c r="A234" s="10"/>
      <c r="B234" s="10"/>
      <c r="C234" s="11"/>
      <c r="D234" s="10"/>
      <c r="E234" s="10"/>
    </row>
    <row r="235" customFormat="false" ht="15" hidden="false" customHeight="false" outlineLevel="0" collapsed="false">
      <c r="A235" s="10"/>
      <c r="B235" s="10"/>
      <c r="C235" s="11"/>
      <c r="D235" s="10"/>
      <c r="E235" s="10"/>
    </row>
    <row r="236" customFormat="false" ht="15" hidden="false" customHeight="false" outlineLevel="0" collapsed="false">
      <c r="A236" s="10"/>
      <c r="B236" s="10"/>
      <c r="C236" s="11"/>
      <c r="D236" s="10"/>
      <c r="E236" s="10"/>
    </row>
    <row r="237" customFormat="false" ht="15" hidden="false" customHeight="false" outlineLevel="0" collapsed="false">
      <c r="A237" s="10"/>
      <c r="B237" s="10"/>
      <c r="C237" s="11"/>
      <c r="D237" s="10"/>
      <c r="E237" s="10"/>
    </row>
    <row r="238" customFormat="false" ht="15" hidden="false" customHeight="false" outlineLevel="0" collapsed="false">
      <c r="A238" s="10"/>
      <c r="B238" s="10"/>
      <c r="C238" s="11"/>
      <c r="D238" s="10"/>
      <c r="E238" s="10"/>
    </row>
    <row r="239" customFormat="false" ht="15" hidden="false" customHeight="false" outlineLevel="0" collapsed="false">
      <c r="A239" s="10"/>
      <c r="B239" s="10"/>
      <c r="C239" s="11"/>
      <c r="D239" s="10"/>
      <c r="E239" s="10"/>
    </row>
    <row r="240" customFormat="false" ht="15" hidden="false" customHeight="false" outlineLevel="0" collapsed="false">
      <c r="A240" s="10"/>
      <c r="B240" s="10"/>
      <c r="C240" s="11"/>
      <c r="D240" s="10"/>
      <c r="E240" s="10"/>
    </row>
    <row r="241" customFormat="false" ht="15" hidden="false" customHeight="false" outlineLevel="0" collapsed="false">
      <c r="A241" s="10"/>
      <c r="B241" s="10"/>
      <c r="C241" s="11"/>
      <c r="D241" s="10"/>
      <c r="E241" s="10"/>
    </row>
    <row r="242" customFormat="false" ht="15" hidden="false" customHeight="false" outlineLevel="0" collapsed="false">
      <c r="A242" s="10"/>
      <c r="B242" s="10"/>
      <c r="C242" s="11"/>
      <c r="D242" s="10"/>
      <c r="E242" s="10"/>
    </row>
    <row r="243" customFormat="false" ht="15" hidden="false" customHeight="false" outlineLevel="0" collapsed="false">
      <c r="A243" s="10"/>
      <c r="B243" s="10"/>
      <c r="C243" s="11"/>
      <c r="D243" s="10"/>
      <c r="E243" s="10"/>
    </row>
    <row r="244" customFormat="false" ht="15" hidden="false" customHeight="false" outlineLevel="0" collapsed="false">
      <c r="A244" s="10"/>
      <c r="B244" s="10"/>
      <c r="C244" s="11"/>
      <c r="D244" s="10"/>
      <c r="E244" s="10"/>
    </row>
    <row r="245" customFormat="false" ht="15" hidden="false" customHeight="false" outlineLevel="0" collapsed="false">
      <c r="A245" s="10"/>
      <c r="B245" s="10"/>
      <c r="C245" s="11"/>
      <c r="D245" s="10"/>
      <c r="E245" s="10"/>
    </row>
    <row r="246" customFormat="false" ht="15" hidden="false" customHeight="false" outlineLevel="0" collapsed="false">
      <c r="A246" s="10"/>
      <c r="B246" s="10"/>
      <c r="C246" s="11"/>
      <c r="D246" s="10"/>
      <c r="E246" s="10"/>
    </row>
    <row r="247" customFormat="false" ht="15" hidden="false" customHeight="false" outlineLevel="0" collapsed="false">
      <c r="A247" s="10"/>
      <c r="B247" s="10"/>
      <c r="C247" s="11"/>
      <c r="D247" s="10"/>
      <c r="E247" s="10"/>
    </row>
    <row r="248" customFormat="false" ht="15" hidden="false" customHeight="false" outlineLevel="0" collapsed="false">
      <c r="A248" s="10"/>
      <c r="B248" s="10"/>
      <c r="C248" s="11"/>
      <c r="D248" s="10"/>
      <c r="E248" s="10"/>
    </row>
    <row r="249" customFormat="false" ht="15" hidden="false" customHeight="false" outlineLevel="0" collapsed="false">
      <c r="A249" s="10"/>
      <c r="B249" s="10"/>
      <c r="C249" s="11"/>
      <c r="D249" s="10"/>
      <c r="E249" s="10"/>
    </row>
    <row r="250" customFormat="false" ht="15" hidden="false" customHeight="false" outlineLevel="0" collapsed="false">
      <c r="A250" s="10"/>
      <c r="B250" s="10"/>
      <c r="C250" s="11"/>
      <c r="D250" s="10"/>
      <c r="E250" s="10"/>
    </row>
    <row r="251" customFormat="false" ht="15" hidden="false" customHeight="false" outlineLevel="0" collapsed="false">
      <c r="A251" s="10"/>
      <c r="B251" s="10"/>
      <c r="C251" s="11"/>
      <c r="D251" s="10"/>
      <c r="E251" s="10"/>
    </row>
    <row r="252" customFormat="false" ht="15" hidden="false" customHeight="false" outlineLevel="0" collapsed="false">
      <c r="A252" s="10"/>
      <c r="B252" s="10"/>
      <c r="C252" s="11"/>
      <c r="D252" s="10"/>
      <c r="E252" s="10"/>
    </row>
    <row r="253" customFormat="false" ht="15" hidden="false" customHeight="false" outlineLevel="0" collapsed="false">
      <c r="A253" s="10"/>
      <c r="B253" s="10"/>
      <c r="C253" s="11"/>
      <c r="D253" s="10"/>
      <c r="E253" s="10"/>
    </row>
    <row r="254" customFormat="false" ht="15" hidden="false" customHeight="false" outlineLevel="0" collapsed="false">
      <c r="A254" s="10"/>
      <c r="B254" s="10"/>
      <c r="C254" s="11"/>
      <c r="D254" s="10"/>
      <c r="E254" s="10"/>
    </row>
    <row r="255" customFormat="false" ht="15" hidden="false" customHeight="false" outlineLevel="0" collapsed="false">
      <c r="A255" s="10"/>
      <c r="B255" s="10"/>
      <c r="C255" s="11"/>
      <c r="D255" s="10"/>
      <c r="E255" s="10"/>
    </row>
    <row r="256" customFormat="false" ht="15" hidden="false" customHeight="false" outlineLevel="0" collapsed="false">
      <c r="A256" s="10"/>
      <c r="B256" s="10"/>
      <c r="C256" s="11"/>
      <c r="D256" s="10"/>
      <c r="E256" s="10"/>
    </row>
    <row r="257" customFormat="false" ht="15" hidden="false" customHeight="false" outlineLevel="0" collapsed="false">
      <c r="A257" s="10"/>
      <c r="B257" s="10"/>
      <c r="C257" s="11"/>
      <c r="D257" s="10"/>
      <c r="E257" s="10"/>
    </row>
    <row r="258" customFormat="false" ht="15" hidden="false" customHeight="false" outlineLevel="0" collapsed="false">
      <c r="A258" s="10"/>
      <c r="B258" s="10"/>
      <c r="C258" s="11"/>
      <c r="D258" s="10"/>
      <c r="E258" s="10"/>
    </row>
    <row r="259" customFormat="false" ht="15" hidden="false" customHeight="false" outlineLevel="0" collapsed="false">
      <c r="A259" s="10"/>
      <c r="B259" s="10"/>
      <c r="C259" s="11"/>
      <c r="D259" s="10"/>
      <c r="E259" s="10"/>
    </row>
    <row r="260" customFormat="false" ht="15" hidden="false" customHeight="false" outlineLevel="0" collapsed="false">
      <c r="A260" s="10"/>
      <c r="B260" s="10"/>
      <c r="C260" s="11"/>
      <c r="D260" s="10"/>
      <c r="E260" s="10"/>
    </row>
    <row r="261" customFormat="false" ht="15" hidden="false" customHeight="false" outlineLevel="0" collapsed="false">
      <c r="A261" s="10"/>
      <c r="B261" s="10"/>
      <c r="C261" s="11"/>
      <c r="D261" s="10"/>
      <c r="E261" s="10"/>
    </row>
    <row r="262" customFormat="false" ht="15" hidden="false" customHeight="false" outlineLevel="0" collapsed="false">
      <c r="A262" s="10"/>
      <c r="B262" s="10"/>
      <c r="C262" s="11"/>
      <c r="D262" s="10"/>
      <c r="E262" s="10"/>
    </row>
    <row r="263" customFormat="false" ht="15" hidden="false" customHeight="false" outlineLevel="0" collapsed="false">
      <c r="A263" s="10"/>
      <c r="B263" s="10"/>
      <c r="C263" s="11"/>
      <c r="D263" s="10"/>
      <c r="E263" s="10"/>
    </row>
    <row r="264" customFormat="false" ht="15" hidden="false" customHeight="false" outlineLevel="0" collapsed="false">
      <c r="A264" s="10"/>
      <c r="B264" s="10"/>
      <c r="C264" s="11"/>
      <c r="D264" s="10"/>
      <c r="E264" s="10"/>
    </row>
    <row r="265" customFormat="false" ht="15" hidden="false" customHeight="false" outlineLevel="0" collapsed="false">
      <c r="A265" s="10"/>
      <c r="B265" s="10"/>
      <c r="C265" s="11"/>
      <c r="D265" s="10"/>
      <c r="E265" s="10"/>
    </row>
    <row r="266" customFormat="false" ht="15" hidden="false" customHeight="false" outlineLevel="0" collapsed="false">
      <c r="A266" s="10"/>
      <c r="B266" s="10"/>
      <c r="C266" s="11"/>
      <c r="D266" s="10"/>
      <c r="E266" s="10"/>
    </row>
    <row r="267" customFormat="false" ht="15" hidden="false" customHeight="false" outlineLevel="0" collapsed="false">
      <c r="A267" s="10"/>
      <c r="B267" s="10"/>
      <c r="C267" s="11"/>
      <c r="D267" s="10"/>
      <c r="E267" s="10"/>
    </row>
    <row r="268" customFormat="false" ht="15" hidden="false" customHeight="false" outlineLevel="0" collapsed="false">
      <c r="A268" s="10"/>
      <c r="B268" s="10"/>
      <c r="C268" s="11"/>
      <c r="D268" s="10"/>
      <c r="E268" s="10"/>
    </row>
    <row r="269" customFormat="false" ht="15" hidden="false" customHeight="false" outlineLevel="0" collapsed="false">
      <c r="A269" s="10"/>
      <c r="B269" s="10"/>
      <c r="C269" s="11"/>
      <c r="D269" s="10"/>
      <c r="E269" s="10"/>
    </row>
    <row r="270" customFormat="false" ht="15" hidden="false" customHeight="false" outlineLevel="0" collapsed="false">
      <c r="A270" s="10"/>
      <c r="B270" s="10"/>
      <c r="C270" s="11"/>
      <c r="D270" s="10"/>
      <c r="E270" s="10"/>
    </row>
    <row r="271" customFormat="false" ht="15" hidden="false" customHeight="false" outlineLevel="0" collapsed="false">
      <c r="A271" s="10"/>
      <c r="B271" s="10"/>
      <c r="C271" s="11"/>
      <c r="D271" s="10"/>
      <c r="E271" s="10"/>
    </row>
    <row r="272" customFormat="false" ht="15" hidden="false" customHeight="false" outlineLevel="0" collapsed="false">
      <c r="A272" s="10"/>
      <c r="B272" s="10"/>
      <c r="C272" s="11"/>
      <c r="D272" s="10"/>
      <c r="E272" s="10"/>
    </row>
    <row r="273" customFormat="false" ht="15" hidden="false" customHeight="false" outlineLevel="0" collapsed="false">
      <c r="A273" s="10"/>
      <c r="B273" s="10"/>
      <c r="C273" s="11"/>
      <c r="D273" s="10"/>
      <c r="E273" s="10"/>
    </row>
    <row r="274" customFormat="false" ht="15" hidden="false" customHeight="false" outlineLevel="0" collapsed="false">
      <c r="A274" s="10"/>
      <c r="B274" s="10"/>
      <c r="C274" s="11"/>
      <c r="D274" s="10"/>
      <c r="E274" s="10"/>
    </row>
    <row r="275" customFormat="false" ht="15" hidden="false" customHeight="false" outlineLevel="0" collapsed="false">
      <c r="A275" s="10"/>
      <c r="B275" s="10"/>
      <c r="C275" s="11"/>
      <c r="D275" s="10"/>
      <c r="E275" s="10"/>
    </row>
    <row r="276" customFormat="false" ht="15" hidden="false" customHeight="false" outlineLevel="0" collapsed="false">
      <c r="A276" s="10"/>
      <c r="B276" s="10"/>
      <c r="C276" s="11"/>
      <c r="D276" s="10"/>
      <c r="E276" s="10"/>
    </row>
    <row r="277" customFormat="false" ht="15" hidden="false" customHeight="false" outlineLevel="0" collapsed="false">
      <c r="A277" s="10"/>
      <c r="B277" s="10"/>
      <c r="C277" s="11"/>
      <c r="D277" s="10"/>
      <c r="E277" s="10"/>
    </row>
    <row r="278" customFormat="false" ht="15" hidden="false" customHeight="false" outlineLevel="0" collapsed="false">
      <c r="A278" s="10"/>
      <c r="B278" s="10"/>
      <c r="C278" s="11"/>
      <c r="D278" s="10"/>
      <c r="E278" s="10"/>
    </row>
    <row r="279" customFormat="false" ht="15" hidden="false" customHeight="false" outlineLevel="0" collapsed="false">
      <c r="A279" s="10"/>
      <c r="B279" s="10"/>
      <c r="C279" s="11"/>
      <c r="D279" s="10"/>
      <c r="E279" s="10"/>
    </row>
    <row r="280" customFormat="false" ht="15" hidden="false" customHeight="false" outlineLevel="0" collapsed="false">
      <c r="A280" s="10"/>
      <c r="B280" s="10"/>
      <c r="C280" s="11"/>
      <c r="D280" s="10"/>
      <c r="E280" s="10"/>
    </row>
    <row r="281" customFormat="false" ht="15" hidden="false" customHeight="false" outlineLevel="0" collapsed="false">
      <c r="A281" s="10"/>
      <c r="B281" s="10"/>
      <c r="C281" s="11"/>
      <c r="D281" s="10"/>
      <c r="E281" s="10"/>
    </row>
    <row r="282" customFormat="false" ht="15" hidden="false" customHeight="false" outlineLevel="0" collapsed="false">
      <c r="A282" s="10"/>
      <c r="B282" s="10"/>
      <c r="C282" s="11"/>
      <c r="D282" s="10"/>
      <c r="E282" s="10"/>
    </row>
    <row r="283" customFormat="false" ht="15" hidden="false" customHeight="false" outlineLevel="0" collapsed="false">
      <c r="A283" s="10"/>
      <c r="B283" s="10"/>
      <c r="C283" s="11"/>
      <c r="D283" s="10"/>
      <c r="E283" s="10"/>
    </row>
    <row r="284" customFormat="false" ht="15" hidden="false" customHeight="false" outlineLevel="0" collapsed="false">
      <c r="A284" s="10"/>
      <c r="B284" s="10"/>
      <c r="C284" s="11"/>
      <c r="D284" s="10"/>
      <c r="E284" s="10"/>
    </row>
    <row r="285" customFormat="false" ht="15" hidden="false" customHeight="false" outlineLevel="0" collapsed="false">
      <c r="A285" s="10"/>
      <c r="B285" s="10"/>
      <c r="C285" s="11"/>
      <c r="D285" s="10"/>
      <c r="E285" s="10"/>
    </row>
    <row r="286" customFormat="false" ht="15" hidden="false" customHeight="false" outlineLevel="0" collapsed="false">
      <c r="A286" s="10"/>
      <c r="B286" s="10"/>
      <c r="C286" s="11"/>
      <c r="D286" s="10"/>
      <c r="E286" s="10"/>
    </row>
    <row r="287" customFormat="false" ht="15" hidden="false" customHeight="false" outlineLevel="0" collapsed="false">
      <c r="A287" s="10"/>
      <c r="B287" s="10"/>
      <c r="C287" s="11"/>
      <c r="D287" s="10"/>
      <c r="E287" s="10"/>
    </row>
    <row r="288" customFormat="false" ht="15" hidden="false" customHeight="false" outlineLevel="0" collapsed="false">
      <c r="A288" s="10"/>
      <c r="B288" s="10"/>
      <c r="C288" s="11"/>
      <c r="D288" s="10"/>
      <c r="E288" s="10"/>
    </row>
    <row r="289" customFormat="false" ht="15" hidden="false" customHeight="false" outlineLevel="0" collapsed="false">
      <c r="A289" s="10"/>
      <c r="B289" s="10"/>
      <c r="C289" s="11"/>
      <c r="D289" s="10"/>
      <c r="E289" s="10"/>
    </row>
    <row r="290" customFormat="false" ht="15" hidden="false" customHeight="false" outlineLevel="0" collapsed="false">
      <c r="A290" s="10"/>
      <c r="B290" s="10"/>
      <c r="C290" s="11"/>
      <c r="D290" s="10"/>
      <c r="E290" s="10"/>
    </row>
    <row r="291" customFormat="false" ht="15" hidden="false" customHeight="false" outlineLevel="0" collapsed="false">
      <c r="A291" s="10"/>
      <c r="B291" s="10"/>
      <c r="C291" s="11"/>
      <c r="D291" s="10"/>
      <c r="E291" s="10"/>
    </row>
    <row r="292" customFormat="false" ht="15" hidden="false" customHeight="false" outlineLevel="0" collapsed="false">
      <c r="A292" s="10"/>
      <c r="B292" s="10"/>
      <c r="C292" s="11"/>
      <c r="D292" s="10"/>
      <c r="E292" s="10"/>
    </row>
    <row r="293" customFormat="false" ht="15" hidden="false" customHeight="false" outlineLevel="0" collapsed="false">
      <c r="A293" s="10"/>
      <c r="B293" s="10"/>
      <c r="C293" s="11"/>
      <c r="D293" s="10"/>
      <c r="E293" s="10"/>
    </row>
    <row r="294" customFormat="false" ht="15" hidden="false" customHeight="false" outlineLevel="0" collapsed="false">
      <c r="A294" s="10"/>
      <c r="B294" s="10"/>
      <c r="C294" s="11"/>
      <c r="D294" s="10"/>
      <c r="E294" s="10"/>
    </row>
    <row r="295" customFormat="false" ht="15" hidden="false" customHeight="false" outlineLevel="0" collapsed="false">
      <c r="A295" s="10"/>
      <c r="B295" s="10"/>
      <c r="C295" s="11"/>
      <c r="D295" s="10"/>
      <c r="E295" s="10"/>
    </row>
    <row r="296" customFormat="false" ht="15" hidden="false" customHeight="false" outlineLevel="0" collapsed="false">
      <c r="A296" s="10"/>
      <c r="B296" s="10"/>
      <c r="C296" s="11"/>
      <c r="D296" s="10"/>
      <c r="E296" s="10"/>
    </row>
    <row r="297" customFormat="false" ht="15" hidden="false" customHeight="false" outlineLevel="0" collapsed="false">
      <c r="A297" s="10"/>
      <c r="B297" s="10"/>
      <c r="C297" s="11"/>
      <c r="D297" s="10"/>
      <c r="E297" s="10"/>
    </row>
    <row r="298" customFormat="false" ht="15" hidden="false" customHeight="false" outlineLevel="0" collapsed="false">
      <c r="A298" s="10"/>
      <c r="B298" s="10"/>
      <c r="C298" s="11"/>
      <c r="D298" s="10"/>
      <c r="E298" s="10"/>
    </row>
    <row r="299" customFormat="false" ht="15" hidden="false" customHeight="false" outlineLevel="0" collapsed="false">
      <c r="A299" s="10"/>
      <c r="B299" s="10"/>
      <c r="C299" s="11"/>
      <c r="D299" s="10"/>
      <c r="E299" s="10"/>
    </row>
    <row r="300" customFormat="false" ht="15" hidden="false" customHeight="false" outlineLevel="0" collapsed="false">
      <c r="A300" s="10"/>
      <c r="B300" s="10"/>
      <c r="C300" s="11"/>
      <c r="D300" s="10"/>
      <c r="E300" s="10"/>
    </row>
    <row r="301" customFormat="false" ht="15" hidden="false" customHeight="false" outlineLevel="0" collapsed="false">
      <c r="A301" s="10"/>
      <c r="B301" s="10"/>
      <c r="C301" s="11"/>
      <c r="D301" s="10"/>
      <c r="E301" s="10"/>
    </row>
    <row r="302" customFormat="false" ht="15" hidden="false" customHeight="false" outlineLevel="0" collapsed="false">
      <c r="A302" s="10"/>
      <c r="B302" s="10"/>
      <c r="C302" s="11"/>
      <c r="D302" s="10"/>
      <c r="E302" s="10"/>
    </row>
    <row r="303" customFormat="false" ht="15" hidden="false" customHeight="false" outlineLevel="0" collapsed="false">
      <c r="A303" s="10"/>
      <c r="B303" s="10"/>
      <c r="C303" s="11"/>
      <c r="D303" s="10"/>
      <c r="E303" s="10"/>
    </row>
    <row r="304" customFormat="false" ht="15" hidden="false" customHeight="false" outlineLevel="0" collapsed="false">
      <c r="A304" s="10"/>
      <c r="B304" s="10"/>
      <c r="C304" s="11"/>
      <c r="D304" s="10"/>
      <c r="E304" s="10"/>
    </row>
    <row r="305" customFormat="false" ht="15" hidden="false" customHeight="false" outlineLevel="0" collapsed="false">
      <c r="A305" s="10"/>
      <c r="B305" s="10"/>
      <c r="C305" s="11"/>
      <c r="D305" s="10"/>
      <c r="E305" s="10"/>
    </row>
    <row r="306" customFormat="false" ht="15" hidden="false" customHeight="false" outlineLevel="0" collapsed="false">
      <c r="A306" s="10"/>
      <c r="B306" s="10"/>
      <c r="C306" s="11"/>
      <c r="D306" s="10"/>
      <c r="E306" s="10"/>
    </row>
    <row r="307" customFormat="false" ht="15" hidden="false" customHeight="false" outlineLevel="0" collapsed="false">
      <c r="A307" s="10"/>
      <c r="B307" s="10"/>
      <c r="C307" s="11"/>
      <c r="D307" s="10"/>
      <c r="E307" s="10"/>
    </row>
    <row r="308" customFormat="false" ht="15" hidden="false" customHeight="false" outlineLevel="0" collapsed="false">
      <c r="A308" s="10"/>
      <c r="B308" s="10"/>
      <c r="C308" s="11"/>
      <c r="D308" s="10"/>
      <c r="E308" s="10"/>
    </row>
    <row r="309" customFormat="false" ht="15" hidden="false" customHeight="false" outlineLevel="0" collapsed="false">
      <c r="A309" s="10"/>
      <c r="B309" s="10"/>
      <c r="C309" s="11"/>
      <c r="D309" s="10"/>
      <c r="E309" s="10"/>
    </row>
    <row r="310" customFormat="false" ht="15" hidden="false" customHeight="false" outlineLevel="0" collapsed="false">
      <c r="A310" s="10"/>
      <c r="B310" s="10"/>
      <c r="C310" s="11"/>
      <c r="D310" s="10"/>
      <c r="E310" s="10"/>
    </row>
    <row r="311" customFormat="false" ht="15" hidden="false" customHeight="false" outlineLevel="0" collapsed="false">
      <c r="A311" s="10"/>
      <c r="B311" s="10"/>
      <c r="C311" s="11"/>
      <c r="D311" s="10"/>
      <c r="E311" s="10"/>
    </row>
    <row r="312" customFormat="false" ht="15" hidden="false" customHeight="false" outlineLevel="0" collapsed="false">
      <c r="A312" s="10"/>
      <c r="B312" s="10"/>
      <c r="C312" s="11"/>
      <c r="D312" s="10"/>
      <c r="E312" s="10"/>
    </row>
    <row r="313" customFormat="false" ht="15" hidden="false" customHeight="false" outlineLevel="0" collapsed="false">
      <c r="A313" s="10"/>
      <c r="B313" s="10"/>
      <c r="C313" s="11"/>
      <c r="D313" s="10"/>
      <c r="E313" s="10"/>
    </row>
    <row r="314" customFormat="false" ht="15" hidden="false" customHeight="false" outlineLevel="0" collapsed="false">
      <c r="A314" s="10"/>
      <c r="B314" s="10"/>
      <c r="C314" s="11"/>
      <c r="D314" s="10"/>
      <c r="E314" s="10"/>
    </row>
    <row r="315" customFormat="false" ht="15" hidden="false" customHeight="false" outlineLevel="0" collapsed="false">
      <c r="A315" s="10"/>
      <c r="B315" s="10"/>
      <c r="C315" s="11"/>
      <c r="D315" s="10"/>
      <c r="E315" s="10"/>
    </row>
    <row r="316" customFormat="false" ht="15" hidden="false" customHeight="false" outlineLevel="0" collapsed="false">
      <c r="A316" s="10"/>
      <c r="B316" s="10"/>
      <c r="C316" s="11"/>
      <c r="D316" s="10"/>
      <c r="E316" s="10"/>
    </row>
    <row r="317" customFormat="false" ht="15" hidden="false" customHeight="false" outlineLevel="0" collapsed="false">
      <c r="A317" s="10"/>
      <c r="B317" s="10"/>
      <c r="C317" s="11"/>
      <c r="D317" s="10"/>
      <c r="E317" s="10"/>
    </row>
    <row r="318" customFormat="false" ht="15" hidden="false" customHeight="false" outlineLevel="0" collapsed="false">
      <c r="A318" s="10"/>
      <c r="B318" s="10"/>
      <c r="C318" s="11"/>
      <c r="D318" s="10"/>
      <c r="E318" s="10"/>
    </row>
    <row r="319" customFormat="false" ht="15" hidden="false" customHeight="false" outlineLevel="0" collapsed="false">
      <c r="A319" s="10"/>
      <c r="B319" s="10"/>
      <c r="C319" s="11"/>
      <c r="D319" s="10"/>
      <c r="E319" s="10"/>
    </row>
    <row r="320" customFormat="false" ht="15" hidden="false" customHeight="false" outlineLevel="0" collapsed="false">
      <c r="A320" s="10"/>
      <c r="B320" s="10"/>
      <c r="C320" s="11"/>
      <c r="D320" s="10"/>
      <c r="E320" s="10"/>
    </row>
    <row r="321" customFormat="false" ht="15" hidden="false" customHeight="false" outlineLevel="0" collapsed="false">
      <c r="A321" s="10"/>
      <c r="B321" s="10"/>
      <c r="C321" s="11"/>
      <c r="D321" s="10"/>
      <c r="E321" s="10"/>
    </row>
    <row r="322" customFormat="false" ht="15" hidden="false" customHeight="false" outlineLevel="0" collapsed="false">
      <c r="A322" s="10"/>
      <c r="B322" s="10"/>
      <c r="C322" s="11"/>
      <c r="D322" s="10"/>
      <c r="E322" s="10"/>
    </row>
    <row r="323" customFormat="false" ht="15" hidden="false" customHeight="false" outlineLevel="0" collapsed="false">
      <c r="A323" s="10"/>
      <c r="B323" s="10"/>
      <c r="C323" s="11"/>
      <c r="D323" s="10"/>
      <c r="E323" s="10"/>
    </row>
    <row r="324" customFormat="false" ht="15" hidden="false" customHeight="false" outlineLevel="0" collapsed="false">
      <c r="A324" s="10"/>
      <c r="B324" s="10"/>
      <c r="C324" s="11"/>
      <c r="D324" s="10"/>
      <c r="E324" s="10"/>
    </row>
    <row r="325" customFormat="false" ht="15" hidden="false" customHeight="false" outlineLevel="0" collapsed="false">
      <c r="A325" s="10"/>
      <c r="B325" s="10"/>
      <c r="C325" s="11"/>
      <c r="D325" s="10"/>
      <c r="E325" s="10"/>
    </row>
    <row r="326" customFormat="false" ht="15" hidden="false" customHeight="false" outlineLevel="0" collapsed="false">
      <c r="A326" s="10"/>
      <c r="B326" s="10"/>
      <c r="C326" s="11"/>
      <c r="D326" s="10"/>
      <c r="E326" s="10"/>
    </row>
    <row r="327" customFormat="false" ht="15" hidden="false" customHeight="false" outlineLevel="0" collapsed="false">
      <c r="A327" s="10"/>
      <c r="B327" s="10"/>
      <c r="C327" s="11"/>
      <c r="D327" s="10"/>
      <c r="E327" s="10"/>
    </row>
    <row r="328" customFormat="false" ht="15" hidden="false" customHeight="false" outlineLevel="0" collapsed="false">
      <c r="A328" s="10"/>
      <c r="B328" s="10"/>
      <c r="C328" s="11"/>
      <c r="D328" s="10"/>
      <c r="E328" s="10"/>
    </row>
    <row r="329" customFormat="false" ht="15" hidden="false" customHeight="false" outlineLevel="0" collapsed="false">
      <c r="A329" s="10"/>
      <c r="B329" s="10"/>
      <c r="C329" s="11"/>
      <c r="D329" s="10"/>
      <c r="E329" s="10"/>
    </row>
    <row r="330" customFormat="false" ht="15" hidden="false" customHeight="false" outlineLevel="0" collapsed="false">
      <c r="A330" s="10"/>
      <c r="B330" s="10"/>
      <c r="C330" s="11"/>
      <c r="D330" s="10"/>
      <c r="E330" s="10"/>
    </row>
    <row r="331" customFormat="false" ht="15" hidden="false" customHeight="false" outlineLevel="0" collapsed="false">
      <c r="A331" s="10"/>
      <c r="B331" s="10"/>
      <c r="C331" s="11"/>
      <c r="D331" s="10"/>
      <c r="E331" s="10"/>
    </row>
    <row r="332" customFormat="false" ht="15" hidden="false" customHeight="false" outlineLevel="0" collapsed="false">
      <c r="A332" s="10"/>
      <c r="B332" s="10"/>
      <c r="C332" s="11"/>
      <c r="D332" s="10"/>
      <c r="E332" s="10"/>
    </row>
    <row r="333" customFormat="false" ht="15" hidden="false" customHeight="false" outlineLevel="0" collapsed="false">
      <c r="A333" s="10"/>
      <c r="B333" s="10"/>
      <c r="C333" s="11"/>
      <c r="D333" s="10"/>
      <c r="E333" s="10"/>
    </row>
    <row r="334" customFormat="false" ht="15" hidden="false" customHeight="false" outlineLevel="0" collapsed="false">
      <c r="A334" s="10"/>
      <c r="B334" s="10"/>
      <c r="C334" s="11"/>
      <c r="D334" s="10"/>
      <c r="E334" s="10"/>
    </row>
    <row r="335" customFormat="false" ht="15" hidden="false" customHeight="false" outlineLevel="0" collapsed="false">
      <c r="A335" s="10"/>
      <c r="B335" s="10"/>
      <c r="C335" s="11"/>
      <c r="D335" s="10"/>
      <c r="E335" s="10"/>
    </row>
    <row r="336" customFormat="false" ht="15" hidden="false" customHeight="false" outlineLevel="0" collapsed="false">
      <c r="A336" s="10"/>
      <c r="B336" s="10"/>
      <c r="C336" s="11"/>
      <c r="D336" s="10"/>
      <c r="E336" s="10"/>
    </row>
    <row r="337" customFormat="false" ht="15" hidden="false" customHeight="false" outlineLevel="0" collapsed="false">
      <c r="A337" s="10"/>
      <c r="B337" s="10"/>
      <c r="C337" s="11"/>
      <c r="D337" s="10"/>
      <c r="E337" s="10"/>
    </row>
    <row r="338" customFormat="false" ht="15" hidden="false" customHeight="false" outlineLevel="0" collapsed="false">
      <c r="A338" s="10"/>
      <c r="B338" s="10"/>
      <c r="C338" s="11"/>
      <c r="D338" s="10"/>
      <c r="E338" s="10"/>
    </row>
    <row r="339" customFormat="false" ht="15" hidden="false" customHeight="false" outlineLevel="0" collapsed="false">
      <c r="A339" s="10"/>
      <c r="B339" s="10"/>
      <c r="C339" s="11"/>
      <c r="D339" s="10"/>
      <c r="E339" s="10"/>
    </row>
    <row r="340" customFormat="false" ht="15" hidden="false" customHeight="false" outlineLevel="0" collapsed="false">
      <c r="A340" s="10"/>
      <c r="B340" s="10"/>
      <c r="C340" s="11"/>
      <c r="D340" s="10"/>
      <c r="E340" s="10"/>
    </row>
    <row r="341" customFormat="false" ht="15" hidden="false" customHeight="false" outlineLevel="0" collapsed="false">
      <c r="A341" s="10"/>
      <c r="B341" s="10"/>
      <c r="C341" s="11"/>
      <c r="D341" s="10"/>
      <c r="E341" s="10"/>
    </row>
    <row r="342" customFormat="false" ht="15" hidden="false" customHeight="false" outlineLevel="0" collapsed="false">
      <c r="A342" s="10"/>
      <c r="B342" s="10"/>
      <c r="C342" s="11"/>
      <c r="D342" s="10"/>
      <c r="E342" s="10"/>
    </row>
    <row r="343" customFormat="false" ht="15" hidden="false" customHeight="false" outlineLevel="0" collapsed="false">
      <c r="A343" s="10"/>
      <c r="B343" s="10"/>
      <c r="C343" s="11"/>
      <c r="D343" s="10"/>
      <c r="E343" s="10"/>
    </row>
    <row r="344" customFormat="false" ht="15" hidden="false" customHeight="false" outlineLevel="0" collapsed="false">
      <c r="A344" s="10"/>
      <c r="B344" s="10"/>
      <c r="C344" s="11"/>
      <c r="D344" s="10"/>
      <c r="E344" s="10"/>
    </row>
    <row r="345" customFormat="false" ht="15" hidden="false" customHeight="false" outlineLevel="0" collapsed="false">
      <c r="A345" s="10"/>
      <c r="B345" s="10"/>
      <c r="C345" s="11"/>
      <c r="D345" s="10"/>
      <c r="E345" s="10"/>
    </row>
    <row r="346" customFormat="false" ht="15" hidden="false" customHeight="false" outlineLevel="0" collapsed="false">
      <c r="A346" s="10"/>
      <c r="B346" s="10"/>
      <c r="C346" s="11"/>
      <c r="D346" s="10"/>
      <c r="E346" s="10"/>
    </row>
    <row r="347" customFormat="false" ht="15" hidden="false" customHeight="false" outlineLevel="0" collapsed="false">
      <c r="A347" s="10"/>
      <c r="B347" s="10"/>
      <c r="C347" s="11"/>
      <c r="D347" s="10"/>
      <c r="E347" s="10"/>
    </row>
    <row r="348" customFormat="false" ht="15" hidden="false" customHeight="false" outlineLevel="0" collapsed="false">
      <c r="A348" s="10"/>
      <c r="B348" s="10"/>
      <c r="C348" s="11"/>
      <c r="D348" s="10"/>
      <c r="E348" s="10"/>
    </row>
    <row r="349" customFormat="false" ht="15" hidden="false" customHeight="false" outlineLevel="0" collapsed="false">
      <c r="A349" s="10"/>
      <c r="B349" s="10"/>
      <c r="C349" s="11"/>
      <c r="D349" s="10"/>
      <c r="E349" s="10"/>
    </row>
    <row r="350" customFormat="false" ht="15" hidden="false" customHeight="false" outlineLevel="0" collapsed="false">
      <c r="A350" s="10"/>
      <c r="B350" s="10"/>
      <c r="C350" s="11"/>
      <c r="D350" s="10"/>
      <c r="E350" s="10"/>
    </row>
    <row r="351" customFormat="false" ht="15" hidden="false" customHeight="false" outlineLevel="0" collapsed="false">
      <c r="A351" s="10"/>
      <c r="B351" s="10"/>
      <c r="C351" s="11"/>
      <c r="D351" s="10"/>
      <c r="E351" s="10"/>
    </row>
    <row r="352" customFormat="false" ht="15" hidden="false" customHeight="false" outlineLevel="0" collapsed="false">
      <c r="A352" s="10"/>
      <c r="B352" s="10"/>
      <c r="C352" s="11"/>
      <c r="D352" s="10"/>
      <c r="E352" s="10"/>
    </row>
    <row r="353" customFormat="false" ht="15" hidden="false" customHeight="false" outlineLevel="0" collapsed="false">
      <c r="A353" s="10"/>
      <c r="B353" s="10"/>
      <c r="C353" s="11"/>
      <c r="D353" s="10"/>
      <c r="E353" s="10"/>
    </row>
    <row r="354" customFormat="false" ht="15" hidden="false" customHeight="false" outlineLevel="0" collapsed="false">
      <c r="A354" s="10"/>
      <c r="B354" s="10"/>
      <c r="C354" s="11"/>
      <c r="D354" s="10"/>
      <c r="E354" s="10"/>
    </row>
    <row r="355" customFormat="false" ht="15" hidden="false" customHeight="false" outlineLevel="0" collapsed="false">
      <c r="A355" s="10"/>
      <c r="B355" s="10"/>
      <c r="C355" s="11"/>
      <c r="D355" s="10"/>
      <c r="E355" s="10"/>
    </row>
    <row r="356" customFormat="false" ht="15" hidden="false" customHeight="false" outlineLevel="0" collapsed="false">
      <c r="A356" s="10"/>
      <c r="B356" s="10"/>
      <c r="C356" s="11"/>
      <c r="D356" s="10"/>
      <c r="E356" s="10"/>
    </row>
    <row r="357" customFormat="false" ht="15" hidden="false" customHeight="false" outlineLevel="0" collapsed="false">
      <c r="A357" s="10"/>
      <c r="B357" s="10"/>
      <c r="C357" s="11"/>
      <c r="D357" s="10"/>
      <c r="E357" s="10"/>
    </row>
    <row r="358" customFormat="false" ht="15" hidden="false" customHeight="false" outlineLevel="0" collapsed="false">
      <c r="A358" s="10"/>
      <c r="B358" s="10"/>
      <c r="C358" s="11"/>
      <c r="D358" s="10"/>
      <c r="E358" s="10"/>
    </row>
    <row r="359" customFormat="false" ht="15" hidden="false" customHeight="false" outlineLevel="0" collapsed="false">
      <c r="A359" s="10"/>
      <c r="B359" s="10"/>
      <c r="C359" s="11"/>
      <c r="D359" s="10"/>
      <c r="E359" s="10"/>
    </row>
    <row r="360" customFormat="false" ht="15" hidden="false" customHeight="false" outlineLevel="0" collapsed="false">
      <c r="A360" s="10"/>
      <c r="B360" s="10"/>
      <c r="C360" s="11"/>
      <c r="D360" s="10"/>
      <c r="E360" s="10"/>
    </row>
    <row r="361" customFormat="false" ht="15" hidden="false" customHeight="false" outlineLevel="0" collapsed="false">
      <c r="A361" s="10"/>
      <c r="B361" s="10"/>
      <c r="C361" s="11"/>
      <c r="D361" s="10"/>
      <c r="E361" s="10"/>
    </row>
    <row r="362" customFormat="false" ht="15" hidden="false" customHeight="false" outlineLevel="0" collapsed="false">
      <c r="A362" s="10"/>
      <c r="B362" s="10"/>
      <c r="C362" s="11"/>
      <c r="D362" s="10"/>
      <c r="E362" s="10"/>
    </row>
    <row r="363" customFormat="false" ht="15" hidden="false" customHeight="false" outlineLevel="0" collapsed="false">
      <c r="A363" s="10"/>
      <c r="B363" s="10"/>
      <c r="C363" s="11"/>
      <c r="D363" s="10"/>
      <c r="E363" s="10"/>
    </row>
    <row r="364" customFormat="false" ht="15" hidden="false" customHeight="false" outlineLevel="0" collapsed="false">
      <c r="A364" s="10"/>
      <c r="B364" s="10"/>
      <c r="C364" s="11"/>
      <c r="D364" s="10"/>
      <c r="E364" s="10"/>
    </row>
    <row r="365" customFormat="false" ht="15" hidden="false" customHeight="false" outlineLevel="0" collapsed="false">
      <c r="A365" s="10"/>
      <c r="B365" s="10"/>
      <c r="C365" s="11"/>
      <c r="D365" s="10"/>
      <c r="E365" s="10"/>
    </row>
    <row r="366" customFormat="false" ht="15" hidden="false" customHeight="false" outlineLevel="0" collapsed="false">
      <c r="A366" s="10"/>
      <c r="B366" s="10"/>
      <c r="C366" s="11"/>
      <c r="D366" s="10"/>
      <c r="E366" s="10"/>
    </row>
    <row r="367" customFormat="false" ht="15" hidden="false" customHeight="false" outlineLevel="0" collapsed="false">
      <c r="A367" s="10"/>
      <c r="B367" s="10"/>
      <c r="C367" s="11"/>
      <c r="D367" s="10"/>
      <c r="E367" s="10"/>
    </row>
    <row r="368" customFormat="false" ht="15" hidden="false" customHeight="false" outlineLevel="0" collapsed="false">
      <c r="A368" s="10"/>
      <c r="B368" s="10"/>
      <c r="C368" s="11"/>
      <c r="D368" s="10"/>
      <c r="E368" s="10"/>
    </row>
    <row r="369" customFormat="false" ht="15" hidden="false" customHeight="false" outlineLevel="0" collapsed="false">
      <c r="A369" s="10"/>
      <c r="B369" s="10"/>
      <c r="C369" s="11"/>
      <c r="D369" s="10"/>
      <c r="E369" s="10"/>
    </row>
    <row r="370" customFormat="false" ht="15" hidden="false" customHeight="false" outlineLevel="0" collapsed="false">
      <c r="A370" s="10"/>
      <c r="B370" s="10"/>
      <c r="C370" s="11"/>
      <c r="D370" s="10"/>
      <c r="E370" s="10"/>
    </row>
    <row r="371" customFormat="false" ht="15" hidden="false" customHeight="false" outlineLevel="0" collapsed="false">
      <c r="A371" s="10"/>
      <c r="B371" s="10"/>
      <c r="C371" s="11"/>
      <c r="D371" s="10"/>
      <c r="E371" s="10"/>
    </row>
    <row r="372" customFormat="false" ht="15" hidden="false" customHeight="false" outlineLevel="0" collapsed="false">
      <c r="A372" s="10"/>
      <c r="B372" s="10"/>
      <c r="C372" s="11"/>
      <c r="D372" s="10"/>
      <c r="E372" s="10"/>
    </row>
    <row r="373" customFormat="false" ht="15" hidden="false" customHeight="false" outlineLevel="0" collapsed="false">
      <c r="A373" s="10"/>
      <c r="B373" s="10"/>
      <c r="C373" s="11"/>
      <c r="D373" s="10"/>
      <c r="E373" s="10"/>
    </row>
    <row r="374" customFormat="false" ht="15" hidden="false" customHeight="false" outlineLevel="0" collapsed="false">
      <c r="A374" s="10"/>
      <c r="B374" s="10"/>
      <c r="C374" s="11"/>
      <c r="D374" s="10"/>
      <c r="E374" s="10"/>
    </row>
    <row r="375" customFormat="false" ht="15" hidden="false" customHeight="false" outlineLevel="0" collapsed="false">
      <c r="A375" s="10"/>
      <c r="B375" s="10"/>
      <c r="C375" s="11"/>
      <c r="D375" s="10"/>
      <c r="E375" s="10"/>
    </row>
    <row r="376" customFormat="false" ht="15" hidden="false" customHeight="false" outlineLevel="0" collapsed="false">
      <c r="A376" s="10"/>
      <c r="B376" s="10"/>
      <c r="C376" s="11"/>
      <c r="D376" s="10"/>
      <c r="E376" s="10"/>
    </row>
    <row r="377" customFormat="false" ht="15" hidden="false" customHeight="false" outlineLevel="0" collapsed="false">
      <c r="A377" s="10"/>
      <c r="B377" s="10"/>
      <c r="C377" s="11"/>
      <c r="D377" s="10"/>
      <c r="E377" s="10"/>
    </row>
    <row r="378" customFormat="false" ht="15" hidden="false" customHeight="false" outlineLevel="0" collapsed="false">
      <c r="A378" s="10"/>
      <c r="B378" s="10"/>
      <c r="C378" s="11"/>
      <c r="D378" s="10"/>
      <c r="E378" s="10"/>
    </row>
    <row r="379" customFormat="false" ht="15" hidden="false" customHeight="false" outlineLevel="0" collapsed="false">
      <c r="A379" s="10"/>
      <c r="B379" s="10"/>
      <c r="C379" s="11"/>
      <c r="D379" s="10"/>
      <c r="E379" s="10"/>
    </row>
    <row r="380" customFormat="false" ht="15" hidden="false" customHeight="false" outlineLevel="0" collapsed="false">
      <c r="A380" s="10"/>
      <c r="B380" s="10"/>
      <c r="C380" s="11"/>
      <c r="D380" s="10"/>
      <c r="E380" s="10"/>
    </row>
    <row r="381" customFormat="false" ht="15" hidden="false" customHeight="false" outlineLevel="0" collapsed="false">
      <c r="A381" s="10"/>
      <c r="B381" s="10"/>
      <c r="C381" s="11"/>
      <c r="D381" s="10"/>
      <c r="E381" s="10"/>
    </row>
    <row r="382" customFormat="false" ht="15" hidden="false" customHeight="false" outlineLevel="0" collapsed="false">
      <c r="A382" s="10"/>
      <c r="B382" s="10"/>
      <c r="C382" s="11"/>
      <c r="D382" s="10"/>
      <c r="E382" s="10"/>
    </row>
    <row r="383" customFormat="false" ht="15" hidden="false" customHeight="false" outlineLevel="0" collapsed="false">
      <c r="A383" s="10"/>
      <c r="B383" s="10"/>
      <c r="C383" s="11"/>
      <c r="D383" s="10"/>
      <c r="E383" s="10"/>
    </row>
    <row r="384" customFormat="false" ht="15" hidden="false" customHeight="false" outlineLevel="0" collapsed="false">
      <c r="A384" s="10"/>
      <c r="B384" s="10"/>
      <c r="C384" s="11"/>
      <c r="D384" s="10"/>
      <c r="E384" s="10"/>
    </row>
    <row r="385" customFormat="false" ht="15" hidden="false" customHeight="false" outlineLevel="0" collapsed="false">
      <c r="A385" s="10"/>
      <c r="B385" s="10"/>
      <c r="C385" s="11"/>
      <c r="D385" s="10"/>
      <c r="E385" s="10"/>
    </row>
    <row r="386" customFormat="false" ht="15" hidden="false" customHeight="false" outlineLevel="0" collapsed="false">
      <c r="A386" s="10"/>
      <c r="B386" s="10"/>
      <c r="C386" s="11"/>
      <c r="D386" s="10"/>
      <c r="E386" s="10"/>
    </row>
    <row r="387" customFormat="false" ht="15" hidden="false" customHeight="false" outlineLevel="0" collapsed="false">
      <c r="A387" s="10"/>
      <c r="B387" s="10"/>
      <c r="C387" s="11"/>
      <c r="D387" s="10"/>
      <c r="E387" s="10"/>
    </row>
    <row r="388" customFormat="false" ht="15" hidden="false" customHeight="false" outlineLevel="0" collapsed="false">
      <c r="A388" s="10"/>
      <c r="B388" s="10"/>
      <c r="C388" s="11"/>
      <c r="D388" s="10"/>
      <c r="E388" s="10"/>
    </row>
    <row r="389" customFormat="false" ht="15" hidden="false" customHeight="false" outlineLevel="0" collapsed="false">
      <c r="A389" s="10"/>
      <c r="B389" s="10"/>
      <c r="C389" s="11"/>
      <c r="D389" s="10"/>
      <c r="E389" s="10"/>
    </row>
    <row r="390" customFormat="false" ht="15" hidden="false" customHeight="false" outlineLevel="0" collapsed="false">
      <c r="A390" s="10"/>
      <c r="B390" s="10"/>
      <c r="C390" s="11"/>
      <c r="D390" s="10"/>
      <c r="E390" s="10"/>
    </row>
    <row r="391" customFormat="false" ht="15" hidden="false" customHeight="false" outlineLevel="0" collapsed="false">
      <c r="A391" s="10"/>
      <c r="B391" s="10"/>
      <c r="C391" s="11"/>
      <c r="D391" s="10"/>
      <c r="E391" s="10"/>
    </row>
    <row r="392" customFormat="false" ht="15" hidden="false" customHeight="false" outlineLevel="0" collapsed="false">
      <c r="A392" s="10"/>
      <c r="B392" s="10"/>
      <c r="C392" s="11"/>
      <c r="D392" s="10"/>
      <c r="E392" s="10"/>
    </row>
    <row r="393" customFormat="false" ht="15" hidden="false" customHeight="false" outlineLevel="0" collapsed="false">
      <c r="A393" s="10"/>
      <c r="B393" s="10"/>
      <c r="C393" s="11"/>
      <c r="D393" s="10"/>
      <c r="E393" s="10"/>
    </row>
    <row r="394" customFormat="false" ht="15" hidden="false" customHeight="false" outlineLevel="0" collapsed="false">
      <c r="A394" s="10"/>
      <c r="B394" s="10"/>
      <c r="C394" s="11"/>
      <c r="D394" s="10"/>
      <c r="E394" s="10"/>
    </row>
    <row r="395" customFormat="false" ht="15" hidden="false" customHeight="false" outlineLevel="0" collapsed="false">
      <c r="A395" s="10"/>
      <c r="B395" s="10"/>
      <c r="C395" s="11"/>
      <c r="D395" s="10"/>
      <c r="E395" s="10"/>
    </row>
    <row r="396" customFormat="false" ht="15" hidden="false" customHeight="false" outlineLevel="0" collapsed="false">
      <c r="A396" s="10"/>
      <c r="B396" s="10"/>
      <c r="C396" s="11"/>
      <c r="D396" s="10"/>
      <c r="E396" s="10"/>
    </row>
    <row r="397" customFormat="false" ht="15" hidden="false" customHeight="false" outlineLevel="0" collapsed="false">
      <c r="A397" s="10"/>
      <c r="B397" s="10"/>
      <c r="C397" s="11"/>
      <c r="D397" s="10"/>
      <c r="E397" s="10"/>
    </row>
    <row r="398" customFormat="false" ht="15" hidden="false" customHeight="false" outlineLevel="0" collapsed="false">
      <c r="A398" s="10"/>
      <c r="B398" s="10"/>
      <c r="C398" s="11"/>
      <c r="D398" s="10"/>
      <c r="E398" s="10"/>
    </row>
    <row r="399" customFormat="false" ht="15" hidden="false" customHeight="false" outlineLevel="0" collapsed="false">
      <c r="A399" s="10"/>
      <c r="B399" s="10"/>
      <c r="C399" s="11"/>
      <c r="D399" s="10"/>
      <c r="E399" s="10"/>
    </row>
    <row r="400" customFormat="false" ht="15" hidden="false" customHeight="false" outlineLevel="0" collapsed="false">
      <c r="A400" s="10"/>
      <c r="B400" s="10"/>
      <c r="C400" s="11"/>
      <c r="D400" s="10"/>
      <c r="E400" s="10"/>
    </row>
    <row r="401" customFormat="false" ht="15" hidden="false" customHeight="false" outlineLevel="0" collapsed="false">
      <c r="A401" s="10"/>
      <c r="B401" s="10"/>
      <c r="C401" s="11"/>
      <c r="D401" s="10"/>
      <c r="E401" s="10"/>
    </row>
    <row r="402" customFormat="false" ht="15" hidden="false" customHeight="false" outlineLevel="0" collapsed="false">
      <c r="A402" s="10"/>
      <c r="B402" s="10"/>
      <c r="C402" s="11"/>
      <c r="D402" s="10"/>
      <c r="E402" s="10"/>
    </row>
    <row r="403" customFormat="false" ht="15" hidden="false" customHeight="false" outlineLevel="0" collapsed="false">
      <c r="A403" s="10"/>
      <c r="B403" s="10"/>
      <c r="C403" s="11"/>
      <c r="D403" s="10"/>
      <c r="E403" s="10"/>
    </row>
    <row r="404" customFormat="false" ht="15" hidden="false" customHeight="false" outlineLevel="0" collapsed="false">
      <c r="A404" s="10"/>
      <c r="B404" s="10"/>
      <c r="C404" s="11"/>
      <c r="D404" s="10"/>
      <c r="E404" s="10"/>
    </row>
    <row r="405" customFormat="false" ht="15" hidden="false" customHeight="false" outlineLevel="0" collapsed="false">
      <c r="A405" s="10"/>
      <c r="B405" s="10"/>
      <c r="C405" s="11"/>
      <c r="D405" s="10"/>
      <c r="E405" s="10"/>
    </row>
    <row r="406" customFormat="false" ht="15" hidden="false" customHeight="false" outlineLevel="0" collapsed="false">
      <c r="A406" s="10"/>
      <c r="B406" s="10"/>
      <c r="C406" s="11"/>
      <c r="D406" s="10"/>
      <c r="E406" s="10"/>
    </row>
    <row r="407" customFormat="false" ht="15" hidden="false" customHeight="false" outlineLevel="0" collapsed="false">
      <c r="A407" s="10"/>
      <c r="B407" s="10"/>
      <c r="C407" s="11"/>
      <c r="D407" s="10"/>
      <c r="E407" s="10"/>
    </row>
    <row r="408" customFormat="false" ht="15" hidden="false" customHeight="false" outlineLevel="0" collapsed="false">
      <c r="A408" s="10"/>
      <c r="B408" s="10"/>
      <c r="C408" s="11"/>
      <c r="D408" s="10"/>
      <c r="E408" s="10"/>
    </row>
    <row r="409" customFormat="false" ht="15" hidden="false" customHeight="false" outlineLevel="0" collapsed="false">
      <c r="A409" s="10"/>
      <c r="B409" s="10"/>
      <c r="C409" s="11"/>
      <c r="D409" s="10"/>
      <c r="E409" s="10"/>
    </row>
    <row r="410" customFormat="false" ht="15" hidden="false" customHeight="false" outlineLevel="0" collapsed="false">
      <c r="A410" s="10"/>
      <c r="B410" s="10"/>
      <c r="C410" s="11"/>
      <c r="D410" s="10"/>
      <c r="E410" s="10"/>
    </row>
    <row r="411" customFormat="false" ht="15" hidden="false" customHeight="false" outlineLevel="0" collapsed="false">
      <c r="A411" s="10"/>
      <c r="B411" s="10"/>
      <c r="C411" s="11"/>
      <c r="D411" s="10"/>
      <c r="E411" s="10"/>
    </row>
    <row r="412" customFormat="false" ht="15" hidden="false" customHeight="false" outlineLevel="0" collapsed="false">
      <c r="A412" s="10"/>
      <c r="B412" s="10"/>
      <c r="C412" s="11"/>
      <c r="D412" s="10"/>
      <c r="E412" s="10"/>
    </row>
    <row r="413" customFormat="false" ht="15" hidden="false" customHeight="false" outlineLevel="0" collapsed="false">
      <c r="A413" s="10"/>
      <c r="B413" s="10"/>
      <c r="C413" s="11"/>
      <c r="D413" s="10"/>
      <c r="E413" s="10"/>
    </row>
    <row r="414" customFormat="false" ht="15" hidden="false" customHeight="false" outlineLevel="0" collapsed="false">
      <c r="A414" s="10"/>
      <c r="B414" s="10"/>
      <c r="C414" s="11"/>
      <c r="D414" s="10"/>
      <c r="E414" s="10"/>
    </row>
    <row r="415" customFormat="false" ht="15" hidden="false" customHeight="false" outlineLevel="0" collapsed="false">
      <c r="A415" s="10"/>
      <c r="B415" s="10"/>
      <c r="C415" s="11"/>
      <c r="D415" s="10"/>
      <c r="E415" s="10"/>
    </row>
    <row r="416" customFormat="false" ht="15" hidden="false" customHeight="false" outlineLevel="0" collapsed="false">
      <c r="A416" s="10"/>
      <c r="B416" s="10"/>
      <c r="C416" s="11"/>
      <c r="D416" s="10"/>
      <c r="E416" s="10"/>
    </row>
    <row r="417" customFormat="false" ht="15" hidden="false" customHeight="false" outlineLevel="0" collapsed="false">
      <c r="A417" s="10"/>
      <c r="B417" s="10"/>
      <c r="C417" s="11"/>
      <c r="D417" s="10"/>
      <c r="E417" s="10"/>
    </row>
    <row r="418" customFormat="false" ht="15" hidden="false" customHeight="false" outlineLevel="0" collapsed="false">
      <c r="A418" s="10"/>
      <c r="B418" s="10"/>
      <c r="C418" s="11"/>
      <c r="D418" s="10"/>
      <c r="E418" s="10"/>
    </row>
    <row r="419" customFormat="false" ht="15" hidden="false" customHeight="false" outlineLevel="0" collapsed="false">
      <c r="A419" s="10"/>
      <c r="B419" s="10"/>
      <c r="C419" s="11"/>
      <c r="D419" s="10"/>
      <c r="E419" s="10"/>
    </row>
    <row r="420" customFormat="false" ht="15" hidden="false" customHeight="false" outlineLevel="0" collapsed="false">
      <c r="A420" s="10"/>
      <c r="B420" s="10"/>
      <c r="C420" s="11"/>
      <c r="D420" s="10"/>
      <c r="E420" s="10"/>
    </row>
    <row r="421" customFormat="false" ht="15" hidden="false" customHeight="false" outlineLevel="0" collapsed="false">
      <c r="A421" s="10"/>
      <c r="B421" s="10"/>
      <c r="C421" s="11"/>
      <c r="D421" s="10"/>
      <c r="E421" s="10"/>
    </row>
    <row r="422" customFormat="false" ht="15" hidden="false" customHeight="false" outlineLevel="0" collapsed="false">
      <c r="A422" s="10"/>
      <c r="B422" s="10"/>
      <c r="C422" s="11"/>
      <c r="D422" s="10"/>
      <c r="E422" s="10"/>
    </row>
    <row r="423" customFormat="false" ht="15" hidden="false" customHeight="false" outlineLevel="0" collapsed="false">
      <c r="A423" s="10"/>
      <c r="B423" s="10"/>
      <c r="C423" s="11"/>
      <c r="D423" s="10"/>
      <c r="E423" s="10"/>
    </row>
    <row r="424" customFormat="false" ht="15" hidden="false" customHeight="false" outlineLevel="0" collapsed="false">
      <c r="A424" s="10"/>
      <c r="B424" s="10"/>
      <c r="C424" s="11"/>
      <c r="D424" s="10"/>
      <c r="E424" s="10"/>
    </row>
    <row r="425" customFormat="false" ht="15" hidden="false" customHeight="false" outlineLevel="0" collapsed="false">
      <c r="A425" s="10"/>
      <c r="B425" s="10"/>
      <c r="C425" s="11"/>
      <c r="D425" s="10"/>
      <c r="E425" s="10"/>
    </row>
    <row r="426" customFormat="false" ht="15" hidden="false" customHeight="false" outlineLevel="0" collapsed="false">
      <c r="A426" s="10"/>
      <c r="B426" s="10"/>
      <c r="C426" s="11"/>
      <c r="D426" s="10"/>
      <c r="E426" s="10"/>
    </row>
    <row r="427" customFormat="false" ht="15" hidden="false" customHeight="false" outlineLevel="0" collapsed="false">
      <c r="A427" s="10"/>
      <c r="B427" s="10"/>
      <c r="C427" s="11"/>
      <c r="D427" s="10"/>
      <c r="E427" s="10"/>
    </row>
    <row r="428" customFormat="false" ht="15" hidden="false" customHeight="false" outlineLevel="0" collapsed="false">
      <c r="A428" s="10"/>
      <c r="B428" s="10"/>
      <c r="C428" s="11"/>
      <c r="D428" s="10"/>
      <c r="E428" s="10"/>
    </row>
    <row r="429" customFormat="false" ht="15" hidden="false" customHeight="false" outlineLevel="0" collapsed="false">
      <c r="A429" s="10"/>
      <c r="B429" s="10"/>
      <c r="C429" s="11"/>
      <c r="D429" s="10"/>
      <c r="E429" s="10"/>
    </row>
    <row r="430" customFormat="false" ht="15" hidden="false" customHeight="false" outlineLevel="0" collapsed="false">
      <c r="A430" s="10"/>
      <c r="B430" s="10"/>
      <c r="C430" s="11"/>
      <c r="D430" s="10"/>
      <c r="E430" s="10"/>
    </row>
    <row r="431" customFormat="false" ht="15" hidden="false" customHeight="false" outlineLevel="0" collapsed="false">
      <c r="A431" s="10"/>
      <c r="B431" s="10"/>
      <c r="C431" s="11"/>
      <c r="D431" s="10"/>
      <c r="E431" s="10"/>
    </row>
    <row r="432" customFormat="false" ht="15" hidden="false" customHeight="false" outlineLevel="0" collapsed="false">
      <c r="A432" s="10"/>
      <c r="B432" s="10"/>
      <c r="C432" s="11"/>
      <c r="D432" s="10"/>
      <c r="E432" s="10"/>
    </row>
    <row r="433" customFormat="false" ht="15" hidden="false" customHeight="false" outlineLevel="0" collapsed="false">
      <c r="A433" s="10"/>
      <c r="B433" s="10"/>
      <c r="C433" s="11"/>
      <c r="D433" s="10"/>
      <c r="E433" s="10"/>
    </row>
    <row r="434" customFormat="false" ht="15" hidden="false" customHeight="false" outlineLevel="0" collapsed="false">
      <c r="A434" s="10"/>
      <c r="B434" s="10"/>
      <c r="C434" s="11"/>
      <c r="D434" s="10"/>
      <c r="E434" s="10"/>
    </row>
    <row r="435" customFormat="false" ht="15" hidden="false" customHeight="false" outlineLevel="0" collapsed="false">
      <c r="A435" s="10"/>
      <c r="B435" s="10"/>
      <c r="C435" s="11"/>
      <c r="D435" s="10"/>
      <c r="E435" s="10"/>
    </row>
    <row r="436" customFormat="false" ht="15" hidden="false" customHeight="false" outlineLevel="0" collapsed="false">
      <c r="A436" s="10"/>
      <c r="B436" s="10"/>
      <c r="C436" s="11"/>
      <c r="D436" s="10"/>
      <c r="E436" s="10"/>
    </row>
    <row r="437" customFormat="false" ht="15" hidden="false" customHeight="false" outlineLevel="0" collapsed="false">
      <c r="A437" s="10"/>
      <c r="B437" s="10"/>
      <c r="C437" s="11"/>
      <c r="D437" s="10"/>
      <c r="E437" s="10"/>
    </row>
    <row r="438" customFormat="false" ht="15" hidden="false" customHeight="false" outlineLevel="0" collapsed="false">
      <c r="A438" s="10"/>
      <c r="B438" s="10"/>
      <c r="C438" s="11"/>
      <c r="D438" s="10"/>
      <c r="E438" s="10"/>
    </row>
    <row r="439" customFormat="false" ht="15" hidden="false" customHeight="false" outlineLevel="0" collapsed="false">
      <c r="A439" s="10"/>
      <c r="B439" s="10"/>
      <c r="C439" s="11"/>
      <c r="D439" s="10"/>
      <c r="E439" s="10"/>
    </row>
    <row r="440" customFormat="false" ht="15" hidden="false" customHeight="false" outlineLevel="0" collapsed="false">
      <c r="A440" s="10"/>
      <c r="B440" s="10"/>
      <c r="C440" s="11"/>
      <c r="D440" s="10"/>
      <c r="E440" s="10"/>
    </row>
    <row r="441" customFormat="false" ht="15" hidden="false" customHeight="false" outlineLevel="0" collapsed="false">
      <c r="A441" s="10"/>
      <c r="B441" s="10"/>
      <c r="C441" s="11"/>
      <c r="D441" s="10"/>
      <c r="E441" s="10"/>
    </row>
    <row r="442" customFormat="false" ht="15" hidden="false" customHeight="false" outlineLevel="0" collapsed="false">
      <c r="A442" s="10"/>
      <c r="B442" s="10"/>
      <c r="C442" s="11"/>
      <c r="D442" s="10"/>
      <c r="E442" s="10"/>
    </row>
    <row r="443" customFormat="false" ht="15" hidden="false" customHeight="false" outlineLevel="0" collapsed="false">
      <c r="A443" s="10"/>
      <c r="B443" s="10"/>
      <c r="C443" s="11"/>
      <c r="D443" s="10"/>
      <c r="E443" s="10"/>
    </row>
    <row r="444" customFormat="false" ht="15" hidden="false" customHeight="false" outlineLevel="0" collapsed="false">
      <c r="A444" s="10"/>
      <c r="B444" s="10"/>
      <c r="C444" s="11"/>
      <c r="D444" s="10"/>
      <c r="E444" s="10"/>
    </row>
    <row r="445" customFormat="false" ht="15" hidden="false" customHeight="false" outlineLevel="0" collapsed="false">
      <c r="A445" s="10"/>
      <c r="B445" s="10"/>
      <c r="C445" s="11"/>
      <c r="D445" s="10"/>
      <c r="E445" s="10"/>
    </row>
    <row r="446" customFormat="false" ht="15" hidden="false" customHeight="false" outlineLevel="0" collapsed="false">
      <c r="A446" s="10"/>
      <c r="B446" s="10"/>
      <c r="C446" s="11"/>
      <c r="D446" s="10"/>
      <c r="E446" s="10"/>
    </row>
    <row r="447" customFormat="false" ht="15" hidden="false" customHeight="false" outlineLevel="0" collapsed="false">
      <c r="A447" s="10"/>
      <c r="B447" s="10"/>
      <c r="C447" s="11"/>
      <c r="D447" s="10"/>
      <c r="E447" s="10"/>
    </row>
    <row r="448" customFormat="false" ht="15" hidden="false" customHeight="false" outlineLevel="0" collapsed="false">
      <c r="A448" s="10"/>
      <c r="B448" s="10"/>
      <c r="C448" s="11"/>
      <c r="D448" s="10"/>
      <c r="E448" s="10"/>
    </row>
    <row r="449" customFormat="false" ht="15" hidden="false" customHeight="false" outlineLevel="0" collapsed="false">
      <c r="A449" s="10"/>
      <c r="B449" s="10"/>
      <c r="C449" s="11"/>
      <c r="D449" s="10"/>
      <c r="E449" s="10"/>
    </row>
    <row r="450" customFormat="false" ht="15" hidden="false" customHeight="false" outlineLevel="0" collapsed="false">
      <c r="A450" s="10"/>
      <c r="B450" s="10"/>
      <c r="C450" s="11"/>
      <c r="D450" s="10"/>
      <c r="E450" s="10"/>
    </row>
    <row r="451" customFormat="false" ht="15" hidden="false" customHeight="false" outlineLevel="0" collapsed="false">
      <c r="A451" s="10"/>
      <c r="B451" s="10"/>
      <c r="C451" s="11"/>
      <c r="D451" s="10"/>
      <c r="E451" s="10"/>
    </row>
    <row r="452" customFormat="false" ht="15" hidden="false" customHeight="false" outlineLevel="0" collapsed="false">
      <c r="A452" s="10"/>
      <c r="B452" s="10"/>
      <c r="C452" s="11"/>
      <c r="D452" s="10"/>
      <c r="E452" s="10"/>
    </row>
    <row r="453" customFormat="false" ht="15" hidden="false" customHeight="false" outlineLevel="0" collapsed="false">
      <c r="A453" s="10"/>
      <c r="B453" s="10"/>
      <c r="C453" s="11"/>
      <c r="D453" s="10"/>
      <c r="E453" s="10"/>
    </row>
    <row r="454" customFormat="false" ht="15" hidden="false" customHeight="false" outlineLevel="0" collapsed="false">
      <c r="A454" s="10"/>
      <c r="B454" s="10"/>
      <c r="C454" s="11"/>
      <c r="D454" s="10"/>
      <c r="E454" s="10"/>
    </row>
    <row r="455" customFormat="false" ht="15" hidden="false" customHeight="false" outlineLevel="0" collapsed="false">
      <c r="A455" s="10"/>
      <c r="B455" s="10"/>
      <c r="C455" s="11"/>
      <c r="D455" s="10"/>
      <c r="E455" s="10"/>
    </row>
    <row r="456" customFormat="false" ht="15" hidden="false" customHeight="false" outlineLevel="0" collapsed="false">
      <c r="A456" s="10"/>
      <c r="B456" s="10"/>
      <c r="C456" s="11"/>
      <c r="D456" s="10"/>
      <c r="E456" s="10"/>
    </row>
    <row r="457" customFormat="false" ht="15" hidden="false" customHeight="false" outlineLevel="0" collapsed="false">
      <c r="A457" s="10"/>
      <c r="B457" s="10"/>
      <c r="C457" s="11"/>
      <c r="D457" s="10"/>
      <c r="E457" s="10"/>
    </row>
    <row r="458" customFormat="false" ht="15" hidden="false" customHeight="false" outlineLevel="0" collapsed="false">
      <c r="A458" s="10"/>
      <c r="B458" s="10"/>
      <c r="C458" s="11"/>
      <c r="D458" s="10"/>
      <c r="E458" s="10"/>
    </row>
    <row r="459" customFormat="false" ht="15" hidden="false" customHeight="false" outlineLevel="0" collapsed="false">
      <c r="A459" s="10"/>
      <c r="B459" s="10"/>
      <c r="C459" s="11"/>
      <c r="D459" s="10"/>
      <c r="E459" s="10"/>
    </row>
    <row r="460" customFormat="false" ht="15" hidden="false" customHeight="false" outlineLevel="0" collapsed="false">
      <c r="A460" s="10"/>
      <c r="B460" s="10"/>
      <c r="C460" s="11"/>
      <c r="D460" s="10"/>
      <c r="E460" s="10"/>
    </row>
    <row r="461" customFormat="false" ht="15" hidden="false" customHeight="false" outlineLevel="0" collapsed="false">
      <c r="A461" s="10"/>
      <c r="B461" s="10"/>
      <c r="C461" s="11"/>
      <c r="D461" s="10"/>
      <c r="E461" s="10"/>
    </row>
    <row r="462" customFormat="false" ht="15" hidden="false" customHeight="false" outlineLevel="0" collapsed="false">
      <c r="A462" s="10"/>
      <c r="B462" s="10"/>
      <c r="C462" s="11"/>
      <c r="D462" s="10"/>
      <c r="E462" s="10"/>
    </row>
    <row r="463" customFormat="false" ht="15" hidden="false" customHeight="false" outlineLevel="0" collapsed="false">
      <c r="A463" s="10"/>
      <c r="B463" s="10"/>
      <c r="C463" s="11"/>
      <c r="D463" s="10"/>
      <c r="E463" s="10"/>
    </row>
    <row r="464" customFormat="false" ht="15" hidden="false" customHeight="false" outlineLevel="0" collapsed="false">
      <c r="A464" s="10"/>
      <c r="B464" s="10"/>
      <c r="C464" s="11"/>
      <c r="D464" s="10"/>
      <c r="E464" s="10"/>
    </row>
    <row r="465" customFormat="false" ht="15" hidden="false" customHeight="false" outlineLevel="0" collapsed="false">
      <c r="A465" s="10"/>
      <c r="B465" s="10"/>
      <c r="C465" s="11"/>
      <c r="D465" s="10"/>
      <c r="E465" s="10"/>
    </row>
    <row r="466" customFormat="false" ht="15" hidden="false" customHeight="false" outlineLevel="0" collapsed="false">
      <c r="A466" s="10"/>
      <c r="B466" s="10"/>
      <c r="C466" s="11"/>
      <c r="D466" s="10"/>
      <c r="E466" s="10"/>
    </row>
    <row r="467" customFormat="false" ht="15" hidden="false" customHeight="false" outlineLevel="0" collapsed="false">
      <c r="A467" s="10"/>
      <c r="B467" s="10"/>
      <c r="C467" s="11"/>
      <c r="D467" s="10"/>
      <c r="E467" s="10"/>
    </row>
    <row r="468" customFormat="false" ht="15" hidden="false" customHeight="false" outlineLevel="0" collapsed="false">
      <c r="A468" s="10"/>
      <c r="B468" s="10"/>
      <c r="C468" s="11"/>
      <c r="D468" s="10"/>
      <c r="E468" s="10"/>
    </row>
    <row r="469" customFormat="false" ht="15" hidden="false" customHeight="false" outlineLevel="0" collapsed="false">
      <c r="A469" s="10"/>
      <c r="B469" s="10"/>
      <c r="C469" s="11"/>
      <c r="D469" s="10"/>
      <c r="E469" s="10"/>
    </row>
    <row r="470" customFormat="false" ht="15" hidden="false" customHeight="false" outlineLevel="0" collapsed="false">
      <c r="A470" s="10"/>
      <c r="B470" s="10"/>
      <c r="C470" s="11"/>
      <c r="D470" s="10"/>
      <c r="E470" s="10"/>
    </row>
    <row r="471" customFormat="false" ht="15" hidden="false" customHeight="false" outlineLevel="0" collapsed="false">
      <c r="A471" s="10"/>
      <c r="B471" s="10"/>
      <c r="C471" s="11"/>
      <c r="D471" s="10"/>
      <c r="E471" s="10"/>
    </row>
    <row r="472" customFormat="false" ht="15" hidden="false" customHeight="false" outlineLevel="0" collapsed="false">
      <c r="A472" s="10"/>
      <c r="B472" s="10"/>
      <c r="C472" s="11"/>
      <c r="D472" s="10"/>
      <c r="E472" s="10"/>
    </row>
    <row r="473" customFormat="false" ht="15" hidden="false" customHeight="false" outlineLevel="0" collapsed="false">
      <c r="A473" s="10"/>
      <c r="B473" s="10"/>
      <c r="C473" s="11"/>
      <c r="D473" s="10"/>
      <c r="E473" s="10"/>
    </row>
    <row r="474" customFormat="false" ht="15" hidden="false" customHeight="false" outlineLevel="0" collapsed="false">
      <c r="A474" s="10"/>
      <c r="B474" s="10"/>
      <c r="C474" s="11"/>
      <c r="D474" s="10"/>
      <c r="E474" s="10"/>
    </row>
    <row r="475" customFormat="false" ht="15" hidden="false" customHeight="false" outlineLevel="0" collapsed="false">
      <c r="A475" s="10"/>
      <c r="B475" s="10"/>
      <c r="C475" s="11"/>
      <c r="D475" s="10"/>
      <c r="E475" s="10"/>
    </row>
    <row r="476" customFormat="false" ht="15" hidden="false" customHeight="false" outlineLevel="0" collapsed="false">
      <c r="A476" s="10"/>
      <c r="B476" s="10"/>
      <c r="C476" s="11"/>
      <c r="D476" s="10"/>
      <c r="E476" s="10"/>
    </row>
    <row r="477" customFormat="false" ht="15" hidden="false" customHeight="false" outlineLevel="0" collapsed="false">
      <c r="A477" s="10"/>
      <c r="B477" s="10"/>
      <c r="C477" s="11"/>
      <c r="D477" s="10"/>
      <c r="E477" s="10"/>
    </row>
    <row r="478" customFormat="false" ht="15" hidden="false" customHeight="false" outlineLevel="0" collapsed="false">
      <c r="A478" s="10"/>
      <c r="B478" s="10"/>
      <c r="C478" s="11"/>
      <c r="D478" s="10"/>
      <c r="E478" s="10"/>
    </row>
    <row r="479" customFormat="false" ht="15" hidden="false" customHeight="false" outlineLevel="0" collapsed="false">
      <c r="A479" s="10"/>
      <c r="B479" s="10"/>
      <c r="C479" s="11"/>
      <c r="D479" s="10"/>
      <c r="E479" s="10"/>
    </row>
    <row r="480" customFormat="false" ht="15" hidden="false" customHeight="false" outlineLevel="0" collapsed="false">
      <c r="A480" s="10"/>
      <c r="B480" s="10"/>
      <c r="C480" s="11"/>
      <c r="D480" s="10"/>
      <c r="E480" s="10"/>
    </row>
    <row r="481" customFormat="false" ht="15" hidden="false" customHeight="false" outlineLevel="0" collapsed="false">
      <c r="A481" s="10"/>
      <c r="B481" s="10"/>
      <c r="C481" s="11"/>
      <c r="D481" s="10"/>
      <c r="E481" s="10"/>
    </row>
    <row r="482" customFormat="false" ht="15" hidden="false" customHeight="false" outlineLevel="0" collapsed="false">
      <c r="A482" s="10"/>
      <c r="B482" s="10"/>
      <c r="C482" s="11"/>
      <c r="D482" s="10"/>
      <c r="E482" s="10"/>
    </row>
    <row r="483" customFormat="false" ht="15" hidden="false" customHeight="false" outlineLevel="0" collapsed="false">
      <c r="A483" s="10"/>
      <c r="B483" s="10"/>
      <c r="C483" s="11"/>
      <c r="D483" s="10"/>
      <c r="E483" s="10"/>
    </row>
    <row r="484" customFormat="false" ht="15" hidden="false" customHeight="false" outlineLevel="0" collapsed="false">
      <c r="A484" s="10"/>
      <c r="B484" s="10"/>
      <c r="C484" s="11"/>
      <c r="D484" s="10"/>
      <c r="E484" s="10"/>
    </row>
    <row r="485" customFormat="false" ht="15" hidden="false" customHeight="false" outlineLevel="0" collapsed="false">
      <c r="A485" s="10"/>
      <c r="B485" s="10"/>
      <c r="C485" s="11"/>
      <c r="D485" s="10"/>
      <c r="E485" s="10"/>
    </row>
    <row r="486" customFormat="false" ht="15" hidden="false" customHeight="false" outlineLevel="0" collapsed="false">
      <c r="A486" s="10"/>
      <c r="B486" s="10"/>
      <c r="C486" s="11"/>
      <c r="D486" s="10"/>
      <c r="E486" s="10"/>
    </row>
    <row r="487" customFormat="false" ht="15" hidden="false" customHeight="false" outlineLevel="0" collapsed="false">
      <c r="A487" s="10"/>
      <c r="B487" s="10"/>
      <c r="C487" s="11"/>
      <c r="D487" s="10"/>
      <c r="E487" s="10"/>
    </row>
    <row r="488" customFormat="false" ht="15" hidden="false" customHeight="false" outlineLevel="0" collapsed="false">
      <c r="A488" s="10"/>
      <c r="B488" s="10"/>
      <c r="C488" s="11"/>
      <c r="D488" s="10"/>
      <c r="E488" s="10"/>
    </row>
    <row r="489" customFormat="false" ht="15" hidden="false" customHeight="false" outlineLevel="0" collapsed="false">
      <c r="A489" s="10"/>
      <c r="B489" s="10"/>
      <c r="C489" s="11"/>
      <c r="D489" s="10"/>
      <c r="E489" s="10"/>
    </row>
    <row r="490" customFormat="false" ht="15" hidden="false" customHeight="false" outlineLevel="0" collapsed="false">
      <c r="A490" s="10"/>
      <c r="B490" s="10"/>
      <c r="C490" s="11"/>
      <c r="D490" s="10"/>
      <c r="E490" s="10"/>
    </row>
    <row r="491" customFormat="false" ht="15" hidden="false" customHeight="false" outlineLevel="0" collapsed="false">
      <c r="A491" s="10"/>
      <c r="B491" s="10"/>
      <c r="C491" s="11"/>
      <c r="D491" s="10"/>
      <c r="E491" s="10"/>
    </row>
    <row r="492" customFormat="false" ht="15" hidden="false" customHeight="false" outlineLevel="0" collapsed="false">
      <c r="A492" s="10"/>
      <c r="B492" s="10"/>
      <c r="C492" s="11"/>
      <c r="D492" s="10"/>
      <c r="E492" s="10"/>
    </row>
    <row r="493" customFormat="false" ht="15" hidden="false" customHeight="false" outlineLevel="0" collapsed="false">
      <c r="A493" s="10"/>
      <c r="B493" s="10"/>
      <c r="C493" s="11"/>
      <c r="D493" s="10"/>
      <c r="E493" s="10"/>
    </row>
    <row r="494" customFormat="false" ht="15" hidden="false" customHeight="false" outlineLevel="0" collapsed="false">
      <c r="A494" s="10"/>
      <c r="B494" s="10"/>
      <c r="C494" s="11"/>
      <c r="D494" s="10"/>
      <c r="E494" s="10"/>
    </row>
    <row r="495" customFormat="false" ht="15" hidden="false" customHeight="false" outlineLevel="0" collapsed="false">
      <c r="A495" s="10"/>
      <c r="B495" s="10"/>
      <c r="C495" s="11"/>
      <c r="D495" s="10"/>
      <c r="E495" s="10"/>
    </row>
    <row r="496" customFormat="false" ht="15" hidden="false" customHeight="false" outlineLevel="0" collapsed="false">
      <c r="A496" s="10"/>
      <c r="B496" s="10"/>
      <c r="C496" s="11"/>
      <c r="D496" s="10"/>
      <c r="E496" s="10"/>
    </row>
    <row r="497" customFormat="false" ht="15" hidden="false" customHeight="false" outlineLevel="0" collapsed="false">
      <c r="A497" s="10"/>
      <c r="B497" s="10"/>
      <c r="C497" s="11"/>
      <c r="D497" s="10"/>
      <c r="E497" s="10"/>
    </row>
    <row r="498" customFormat="false" ht="15" hidden="false" customHeight="false" outlineLevel="0" collapsed="false">
      <c r="A498" s="10"/>
      <c r="B498" s="10"/>
      <c r="C498" s="11"/>
      <c r="D498" s="10"/>
      <c r="E498" s="10"/>
    </row>
    <row r="499" customFormat="false" ht="15" hidden="false" customHeight="false" outlineLevel="0" collapsed="false">
      <c r="A499" s="10"/>
      <c r="B499" s="10"/>
      <c r="C499" s="11"/>
      <c r="D499" s="10"/>
      <c r="E499" s="10"/>
    </row>
    <row r="500" customFormat="false" ht="15" hidden="false" customHeight="false" outlineLevel="0" collapsed="false">
      <c r="A500" s="10"/>
      <c r="B500" s="10"/>
      <c r="C500" s="11"/>
      <c r="D500" s="10"/>
      <c r="E500" s="10"/>
    </row>
  </sheetData>
  <dataValidations count="1">
    <dataValidation allowBlank="true" errorStyle="stop" operator="between" showDropDown="false" showErrorMessage="false" showInputMessage="false" sqref="D2:D500" type="list">
      <formula1>"微信,银行转账,现金"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  <c r="G1" s="6" t="s">
        <v>130</v>
      </c>
    </row>
    <row r="2" customFormat="false" ht="15" hidden="false" customHeight="false" outlineLevel="0" collapsed="false">
      <c r="A2" s="10" t="str">
        <f aca="false">IF(客户档案!B2="","",客户档案!B2)</f>
        <v>老王饺子馆</v>
      </c>
      <c r="B2" s="14" t="n">
        <v>0</v>
      </c>
      <c r="C2" s="11" t="n">
        <f aca="false">IF(A2="","",SUMIF(送货回执登记!$C$2:$C$500,A2,送货回执登记!$D$2:$D$500))</f>
        <v>145</v>
      </c>
      <c r="D2" s="11" t="n">
        <f aca="false">IF(A2="","",SUMIF(收款记录!$B$2:$B$500,A2,收款记录!$C$2:$C$500))</f>
        <v>100</v>
      </c>
      <c r="E2" s="11" t="n">
        <f aca="false">IF(A2="","",N(B2)+C2-D2)</f>
        <v>45</v>
      </c>
      <c r="F2" s="11" t="n">
        <f aca="false">IF(A2="","",IFERROR(INDEX(客户档案!$K$2:$K$300,MATCH(A2,客户档案!$B$2:$B$300,0)),""))</f>
        <v>3000</v>
      </c>
      <c r="G2" s="10" t="str">
        <f aca="false">IF(A2="","",IF(ISNUMBER(F2),IF(AND(F2&gt;0,E2&gt;F2),"超额!先收款再供货",""),""))</f>
        <v/>
      </c>
    </row>
    <row r="3" customFormat="false" ht="15" hidden="false" customHeight="false" outlineLevel="0" collapsed="false">
      <c r="A3" s="10" t="str">
        <f aca="false">IF(客户档案!B3="","",客户档案!B3)</f>
        <v>学苑食堂3号档口</v>
      </c>
      <c r="B3" s="14" t="n">
        <v>0</v>
      </c>
      <c r="C3" s="11" t="n">
        <f aca="false">IF(A3="","",SUMIF(送货回执登记!$C$2:$C$500,A3,送货回执登记!$D$2:$D$500))</f>
        <v>390</v>
      </c>
      <c r="D3" s="11" t="n">
        <f aca="false">IF(A3="","",SUMIF(收款记录!$B$2:$B$500,A3,收款记录!$C$2:$C$500))</f>
        <v>0</v>
      </c>
      <c r="E3" s="11" t="n">
        <f aca="false">IF(A3="","",N(B3)+C3-D3)</f>
        <v>390</v>
      </c>
      <c r="F3" s="11" t="n">
        <f aca="false">IF(A3="","",IFERROR(INDEX(客户档案!$K$2:$K$300,MATCH(A3,客户档案!$B$2:$B$300,0)),""))</f>
        <v>8000</v>
      </c>
      <c r="G3" s="10" t="str">
        <f aca="false">IF(A3="","",IF(ISNUMBER(F3),IF(AND(F3&gt;0,E3&gt;F3),"超额!先收款再供货",""),""))</f>
        <v/>
      </c>
    </row>
    <row r="4" customFormat="false" ht="15" hidden="false" customHeight="false" outlineLevel="0" collapsed="false">
      <c r="A4" s="10" t="str">
        <f aca="false">IF(客户档案!B4="","",客户档案!B4)</f>
        <v>红星烧烤</v>
      </c>
      <c r="B4" s="14" t="n">
        <v>0</v>
      </c>
      <c r="C4" s="11" t="n">
        <f aca="false">IF(A4="","",SUMIF(送货回执登记!$C$2:$C$500,A4,送货回执登记!$D$2:$D$500))</f>
        <v>0</v>
      </c>
      <c r="D4" s="11" t="n">
        <f aca="false">IF(A4="","",SUMIF(收款记录!$B$2:$B$500,A4,收款记录!$C$2:$C$500))</f>
        <v>0</v>
      </c>
      <c r="E4" s="11" t="n">
        <f aca="false">IF(A4="","",N(B4)+C4-D4)</f>
        <v>0</v>
      </c>
      <c r="F4" s="11" t="n">
        <f aca="false">IF(A4="","",IFERROR(INDEX(客户档案!$K$2:$K$300,MATCH(A4,客户档案!$B$2:$B$300,0)),""))</f>
        <v>0</v>
      </c>
      <c r="G4" s="10" t="str">
        <f aca="false">IF(A4="","",IF(ISNUMBER(F4),IF(AND(F4&gt;0,E4&gt;F4),"超额!先收款再供货",""),""))</f>
        <v/>
      </c>
    </row>
    <row r="5" customFormat="false" ht="15" hidden="false" customHeight="false" outlineLevel="0" collapsed="false">
      <c r="A5" s="10" t="str">
        <f aca="false">IF(客户档案!B5="","",客户档案!B5)</f>
        <v/>
      </c>
      <c r="B5" s="14"/>
      <c r="C5" s="11" t="str">
        <f aca="false">IF(A5="","",SUMIF(送货回执登记!$C$2:$C$500,A5,送货回执登记!$D$2:$D$500))</f>
        <v/>
      </c>
      <c r="D5" s="11" t="str">
        <f aca="false">IF(A5="","",SUMIF(收款记录!$B$2:$B$500,A5,收款记录!$C$2:$C$500))</f>
        <v/>
      </c>
      <c r="E5" s="11" t="str">
        <f aca="false">IF(A5="","",N(B5)+C5-D5)</f>
        <v/>
      </c>
      <c r="F5" s="11" t="str">
        <f aca="false">IF(A5="","",IFERROR(INDEX(客户档案!$K$2:$K$300,MATCH(A5,客户档案!$B$2:$B$300,0)),""))</f>
        <v/>
      </c>
      <c r="G5" s="10" t="str">
        <f aca="false">IF(A5="","",IF(ISNUMBER(F5),IF(AND(F5&gt;0,E5&gt;F5),"超额!先收款再供货",""),""))</f>
        <v/>
      </c>
    </row>
    <row r="6" customFormat="false" ht="15" hidden="false" customHeight="false" outlineLevel="0" collapsed="false">
      <c r="A6" s="10" t="str">
        <f aca="false">IF(客户档案!B6="","",客户档案!B6)</f>
        <v/>
      </c>
      <c r="B6" s="14"/>
      <c r="C6" s="11" t="str">
        <f aca="false">IF(A6="","",SUMIF(送货回执登记!$C$2:$C$500,A6,送货回执登记!$D$2:$D$500))</f>
        <v/>
      </c>
      <c r="D6" s="11" t="str">
        <f aca="false">IF(A6="","",SUMIF(收款记录!$B$2:$B$500,A6,收款记录!$C$2:$C$500))</f>
        <v/>
      </c>
      <c r="E6" s="11" t="str">
        <f aca="false">IF(A6="","",N(B6)+C6-D6)</f>
        <v/>
      </c>
      <c r="F6" s="11" t="str">
        <f aca="false">IF(A6="","",IFERROR(INDEX(客户档案!$K$2:$K$300,MATCH(A6,客户档案!$B$2:$B$300,0)),""))</f>
        <v/>
      </c>
      <c r="G6" s="10" t="str">
        <f aca="false">IF(A6="","",IF(ISNUMBER(F6),IF(AND(F6&gt;0,E6&gt;F6),"超额!先收款再供货",""),""))</f>
        <v/>
      </c>
    </row>
    <row r="7" customFormat="false" ht="15" hidden="false" customHeight="false" outlineLevel="0" collapsed="false">
      <c r="A7" s="10" t="str">
        <f aca="false">IF(客户档案!B7="","",客户档案!B7)</f>
        <v/>
      </c>
      <c r="B7" s="14"/>
      <c r="C7" s="11" t="str">
        <f aca="false">IF(A7="","",SUMIF(送货回执登记!$C$2:$C$500,A7,送货回执登记!$D$2:$D$500))</f>
        <v/>
      </c>
      <c r="D7" s="11" t="str">
        <f aca="false">IF(A7="","",SUMIF(收款记录!$B$2:$B$500,A7,收款记录!$C$2:$C$500))</f>
        <v/>
      </c>
      <c r="E7" s="11" t="str">
        <f aca="false">IF(A7="","",N(B7)+C7-D7)</f>
        <v/>
      </c>
      <c r="F7" s="11" t="str">
        <f aca="false">IF(A7="","",IFERROR(INDEX(客户档案!$K$2:$K$300,MATCH(A7,客户档案!$B$2:$B$300,0)),""))</f>
        <v/>
      </c>
      <c r="G7" s="10" t="str">
        <f aca="false">IF(A7="","",IF(ISNUMBER(F7),IF(AND(F7&gt;0,E7&gt;F7),"超额!先收款再供货",""),""))</f>
        <v/>
      </c>
    </row>
    <row r="8" customFormat="false" ht="15" hidden="false" customHeight="false" outlineLevel="0" collapsed="false">
      <c r="A8" s="10" t="str">
        <f aca="false">IF(客户档案!B8="","",客户档案!B8)</f>
        <v/>
      </c>
      <c r="B8" s="14"/>
      <c r="C8" s="11" t="str">
        <f aca="false">IF(A8="","",SUMIF(送货回执登记!$C$2:$C$500,A8,送货回执登记!$D$2:$D$500))</f>
        <v/>
      </c>
      <c r="D8" s="11" t="str">
        <f aca="false">IF(A8="","",SUMIF(收款记录!$B$2:$B$500,A8,收款记录!$C$2:$C$500))</f>
        <v/>
      </c>
      <c r="E8" s="11" t="str">
        <f aca="false">IF(A8="","",N(B8)+C8-D8)</f>
        <v/>
      </c>
      <c r="F8" s="11" t="str">
        <f aca="false">IF(A8="","",IFERROR(INDEX(客户档案!$K$2:$K$300,MATCH(A8,客户档案!$B$2:$B$300,0)),""))</f>
        <v/>
      </c>
      <c r="G8" s="10" t="str">
        <f aca="false">IF(A8="","",IF(ISNUMBER(F8),IF(AND(F8&gt;0,E8&gt;F8),"超额!先收款再供货",""),""))</f>
        <v/>
      </c>
    </row>
    <row r="9" customFormat="false" ht="15" hidden="false" customHeight="false" outlineLevel="0" collapsed="false">
      <c r="A9" s="10" t="str">
        <f aca="false">IF(客户档案!B9="","",客户档案!B9)</f>
        <v/>
      </c>
      <c r="B9" s="14"/>
      <c r="C9" s="11" t="str">
        <f aca="false">IF(A9="","",SUMIF(送货回执登记!$C$2:$C$500,A9,送货回执登记!$D$2:$D$500))</f>
        <v/>
      </c>
      <c r="D9" s="11" t="str">
        <f aca="false">IF(A9="","",SUMIF(收款记录!$B$2:$B$500,A9,收款记录!$C$2:$C$500))</f>
        <v/>
      </c>
      <c r="E9" s="11" t="str">
        <f aca="false">IF(A9="","",N(B9)+C9-D9)</f>
        <v/>
      </c>
      <c r="F9" s="11" t="str">
        <f aca="false">IF(A9="","",IFERROR(INDEX(客户档案!$K$2:$K$300,MATCH(A9,客户档案!$B$2:$B$300,0)),""))</f>
        <v/>
      </c>
      <c r="G9" s="10" t="str">
        <f aca="false">IF(A9="","",IF(ISNUMBER(F9),IF(AND(F9&gt;0,E9&gt;F9),"超额!先收款再供货",""),""))</f>
        <v/>
      </c>
    </row>
    <row r="10" customFormat="false" ht="15" hidden="false" customHeight="false" outlineLevel="0" collapsed="false">
      <c r="A10" s="10" t="str">
        <f aca="false">IF(客户档案!B10="","",客户档案!B10)</f>
        <v/>
      </c>
      <c r="B10" s="14"/>
      <c r="C10" s="11" t="str">
        <f aca="false">IF(A10="","",SUMIF(送货回执登记!$C$2:$C$500,A10,送货回执登记!$D$2:$D$500))</f>
        <v/>
      </c>
      <c r="D10" s="11" t="str">
        <f aca="false">IF(A10="","",SUMIF(收款记录!$B$2:$B$500,A10,收款记录!$C$2:$C$500))</f>
        <v/>
      </c>
      <c r="E10" s="11" t="str">
        <f aca="false">IF(A10="","",N(B10)+C10-D10)</f>
        <v/>
      </c>
      <c r="F10" s="11" t="str">
        <f aca="false">IF(A10="","",IFERROR(INDEX(客户档案!$K$2:$K$300,MATCH(A10,客户档案!$B$2:$B$300,0)),""))</f>
        <v/>
      </c>
      <c r="G10" s="10" t="str">
        <f aca="false">IF(A10="","",IF(ISNUMBER(F10),IF(AND(F10&gt;0,E10&gt;F10),"超额!先收款再供货",""),""))</f>
        <v/>
      </c>
    </row>
    <row r="11" customFormat="false" ht="15" hidden="false" customHeight="false" outlineLevel="0" collapsed="false">
      <c r="A11" s="10" t="str">
        <f aca="false">IF(客户档案!B11="","",客户档案!B11)</f>
        <v/>
      </c>
      <c r="B11" s="14"/>
      <c r="C11" s="11" t="str">
        <f aca="false">IF(A11="","",SUMIF(送货回执登记!$C$2:$C$500,A11,送货回执登记!$D$2:$D$500))</f>
        <v/>
      </c>
      <c r="D11" s="11" t="str">
        <f aca="false">IF(A11="","",SUMIF(收款记录!$B$2:$B$500,A11,收款记录!$C$2:$C$500))</f>
        <v/>
      </c>
      <c r="E11" s="11" t="str">
        <f aca="false">IF(A11="","",N(B11)+C11-D11)</f>
        <v/>
      </c>
      <c r="F11" s="11" t="str">
        <f aca="false">IF(A11="","",IFERROR(INDEX(客户档案!$K$2:$K$300,MATCH(A11,客户档案!$B$2:$B$300,0)),""))</f>
        <v/>
      </c>
      <c r="G11" s="10" t="str">
        <f aca="false">IF(A11="","",IF(ISNUMBER(F11),IF(AND(F11&gt;0,E11&gt;F11),"超额!先收款再供货",""),""))</f>
        <v/>
      </c>
    </row>
    <row r="12" customFormat="false" ht="15" hidden="false" customHeight="false" outlineLevel="0" collapsed="false">
      <c r="A12" s="10" t="str">
        <f aca="false">IF(客户档案!B12="","",客户档案!B12)</f>
        <v/>
      </c>
      <c r="B12" s="14"/>
      <c r="C12" s="11" t="str">
        <f aca="false">IF(A12="","",SUMIF(送货回执登记!$C$2:$C$500,A12,送货回执登记!$D$2:$D$500))</f>
        <v/>
      </c>
      <c r="D12" s="11" t="str">
        <f aca="false">IF(A12="","",SUMIF(收款记录!$B$2:$B$500,A12,收款记录!$C$2:$C$500))</f>
        <v/>
      </c>
      <c r="E12" s="11" t="str">
        <f aca="false">IF(A12="","",N(B12)+C12-D12)</f>
        <v/>
      </c>
      <c r="F12" s="11" t="str">
        <f aca="false">IF(A12="","",IFERROR(INDEX(客户档案!$K$2:$K$300,MATCH(A12,客户档案!$B$2:$B$300,0)),""))</f>
        <v/>
      </c>
      <c r="G12" s="10" t="str">
        <f aca="false">IF(A12="","",IF(ISNUMBER(F12),IF(AND(F12&gt;0,E12&gt;F12),"超额!先收款再供货",""),""))</f>
        <v/>
      </c>
    </row>
    <row r="13" customFormat="false" ht="15" hidden="false" customHeight="false" outlineLevel="0" collapsed="false">
      <c r="A13" s="10" t="str">
        <f aca="false">IF(客户档案!B13="","",客户档案!B13)</f>
        <v/>
      </c>
      <c r="B13" s="14"/>
      <c r="C13" s="11" t="str">
        <f aca="false">IF(A13="","",SUMIF(送货回执登记!$C$2:$C$500,A13,送货回执登记!$D$2:$D$500))</f>
        <v/>
      </c>
      <c r="D13" s="11" t="str">
        <f aca="false">IF(A13="","",SUMIF(收款记录!$B$2:$B$500,A13,收款记录!$C$2:$C$500))</f>
        <v/>
      </c>
      <c r="E13" s="11" t="str">
        <f aca="false">IF(A13="","",N(B13)+C13-D13)</f>
        <v/>
      </c>
      <c r="F13" s="11" t="str">
        <f aca="false">IF(A13="","",IFERROR(INDEX(客户档案!$K$2:$K$300,MATCH(A13,客户档案!$B$2:$B$300,0)),""))</f>
        <v/>
      </c>
      <c r="G13" s="10" t="str">
        <f aca="false">IF(A13="","",IF(ISNUMBER(F13),IF(AND(F13&gt;0,E13&gt;F13),"超额!先收款再供货",""),""))</f>
        <v/>
      </c>
    </row>
    <row r="14" customFormat="false" ht="15" hidden="false" customHeight="false" outlineLevel="0" collapsed="false">
      <c r="A14" s="10" t="str">
        <f aca="false">IF(客户档案!B14="","",客户档案!B14)</f>
        <v/>
      </c>
      <c r="B14" s="14"/>
      <c r="C14" s="11" t="str">
        <f aca="false">IF(A14="","",SUMIF(送货回执登记!$C$2:$C$500,A14,送货回执登记!$D$2:$D$500))</f>
        <v/>
      </c>
      <c r="D14" s="11" t="str">
        <f aca="false">IF(A14="","",SUMIF(收款记录!$B$2:$B$500,A14,收款记录!$C$2:$C$500))</f>
        <v/>
      </c>
      <c r="E14" s="11" t="str">
        <f aca="false">IF(A14="","",N(B14)+C14-D14)</f>
        <v/>
      </c>
      <c r="F14" s="11" t="str">
        <f aca="false">IF(A14="","",IFERROR(INDEX(客户档案!$K$2:$K$300,MATCH(A14,客户档案!$B$2:$B$300,0)),""))</f>
        <v/>
      </c>
      <c r="G14" s="10" t="str">
        <f aca="false">IF(A14="","",IF(ISNUMBER(F14),IF(AND(F14&gt;0,E14&gt;F14),"超额!先收款再供货",""),""))</f>
        <v/>
      </c>
    </row>
    <row r="15" customFormat="false" ht="15" hidden="false" customHeight="false" outlineLevel="0" collapsed="false">
      <c r="A15" s="10" t="str">
        <f aca="false">IF(客户档案!B15="","",客户档案!B15)</f>
        <v/>
      </c>
      <c r="B15" s="14"/>
      <c r="C15" s="11" t="str">
        <f aca="false">IF(A15="","",SUMIF(送货回执登记!$C$2:$C$500,A15,送货回执登记!$D$2:$D$500))</f>
        <v/>
      </c>
      <c r="D15" s="11" t="str">
        <f aca="false">IF(A15="","",SUMIF(收款记录!$B$2:$B$500,A15,收款记录!$C$2:$C$500))</f>
        <v/>
      </c>
      <c r="E15" s="11" t="str">
        <f aca="false">IF(A15="","",N(B15)+C15-D15)</f>
        <v/>
      </c>
      <c r="F15" s="11" t="str">
        <f aca="false">IF(A15="","",IFERROR(INDEX(客户档案!$K$2:$K$300,MATCH(A15,客户档案!$B$2:$B$300,0)),""))</f>
        <v/>
      </c>
      <c r="G15" s="10" t="str">
        <f aca="false">IF(A15="","",IF(ISNUMBER(F15),IF(AND(F15&gt;0,E15&gt;F15),"超额!先收款再供货",""),""))</f>
        <v/>
      </c>
    </row>
    <row r="16" customFormat="false" ht="15" hidden="false" customHeight="false" outlineLevel="0" collapsed="false">
      <c r="A16" s="10" t="str">
        <f aca="false">IF(客户档案!B16="","",客户档案!B16)</f>
        <v/>
      </c>
      <c r="B16" s="14"/>
      <c r="C16" s="11" t="str">
        <f aca="false">IF(A16="","",SUMIF(送货回执登记!$C$2:$C$500,A16,送货回执登记!$D$2:$D$500))</f>
        <v/>
      </c>
      <c r="D16" s="11" t="str">
        <f aca="false">IF(A16="","",SUMIF(收款记录!$B$2:$B$500,A16,收款记录!$C$2:$C$500))</f>
        <v/>
      </c>
      <c r="E16" s="11" t="str">
        <f aca="false">IF(A16="","",N(B16)+C16-D16)</f>
        <v/>
      </c>
      <c r="F16" s="11" t="str">
        <f aca="false">IF(A16="","",IFERROR(INDEX(客户档案!$K$2:$K$300,MATCH(A16,客户档案!$B$2:$B$300,0)),""))</f>
        <v/>
      </c>
      <c r="G16" s="10" t="str">
        <f aca="false">IF(A16="","",IF(ISNUMBER(F16),IF(AND(F16&gt;0,E16&gt;F16),"超额!先收款再供货",""),""))</f>
        <v/>
      </c>
    </row>
    <row r="17" customFormat="false" ht="15" hidden="false" customHeight="false" outlineLevel="0" collapsed="false">
      <c r="A17" s="10" t="str">
        <f aca="false">IF(客户档案!B17="","",客户档案!B17)</f>
        <v/>
      </c>
      <c r="B17" s="14"/>
      <c r="C17" s="11" t="str">
        <f aca="false">IF(A17="","",SUMIF(送货回执登记!$C$2:$C$500,A17,送货回执登记!$D$2:$D$500))</f>
        <v/>
      </c>
      <c r="D17" s="11" t="str">
        <f aca="false">IF(A17="","",SUMIF(收款记录!$B$2:$B$500,A17,收款记录!$C$2:$C$500))</f>
        <v/>
      </c>
      <c r="E17" s="11" t="str">
        <f aca="false">IF(A17="","",N(B17)+C17-D17)</f>
        <v/>
      </c>
      <c r="F17" s="11" t="str">
        <f aca="false">IF(A17="","",IFERROR(INDEX(客户档案!$K$2:$K$300,MATCH(A17,客户档案!$B$2:$B$300,0)),""))</f>
        <v/>
      </c>
      <c r="G17" s="10" t="str">
        <f aca="false">IF(A17="","",IF(ISNUMBER(F17),IF(AND(F17&gt;0,E17&gt;F17),"超额!先收款再供货",""),""))</f>
        <v/>
      </c>
    </row>
    <row r="18" customFormat="false" ht="15" hidden="false" customHeight="false" outlineLevel="0" collapsed="false">
      <c r="A18" s="10" t="str">
        <f aca="false">IF(客户档案!B18="","",客户档案!B18)</f>
        <v/>
      </c>
      <c r="B18" s="14"/>
      <c r="C18" s="11" t="str">
        <f aca="false">IF(A18="","",SUMIF(送货回执登记!$C$2:$C$500,A18,送货回执登记!$D$2:$D$500))</f>
        <v/>
      </c>
      <c r="D18" s="11" t="str">
        <f aca="false">IF(A18="","",SUMIF(收款记录!$B$2:$B$500,A18,收款记录!$C$2:$C$500))</f>
        <v/>
      </c>
      <c r="E18" s="11" t="str">
        <f aca="false">IF(A18="","",N(B18)+C18-D18)</f>
        <v/>
      </c>
      <c r="F18" s="11" t="str">
        <f aca="false">IF(A18="","",IFERROR(INDEX(客户档案!$K$2:$K$300,MATCH(A18,客户档案!$B$2:$B$300,0)),""))</f>
        <v/>
      </c>
      <c r="G18" s="10" t="str">
        <f aca="false">IF(A18="","",IF(ISNUMBER(F18),IF(AND(F18&gt;0,E18&gt;F18),"超额!先收款再供货",""),""))</f>
        <v/>
      </c>
    </row>
    <row r="19" customFormat="false" ht="15" hidden="false" customHeight="false" outlineLevel="0" collapsed="false">
      <c r="A19" s="10" t="str">
        <f aca="false">IF(客户档案!B19="","",客户档案!B19)</f>
        <v/>
      </c>
      <c r="B19" s="14"/>
      <c r="C19" s="11" t="str">
        <f aca="false">IF(A19="","",SUMIF(送货回执登记!$C$2:$C$500,A19,送货回执登记!$D$2:$D$500))</f>
        <v/>
      </c>
      <c r="D19" s="11" t="str">
        <f aca="false">IF(A19="","",SUMIF(收款记录!$B$2:$B$500,A19,收款记录!$C$2:$C$500))</f>
        <v/>
      </c>
      <c r="E19" s="11" t="str">
        <f aca="false">IF(A19="","",N(B19)+C19-D19)</f>
        <v/>
      </c>
      <c r="F19" s="11" t="str">
        <f aca="false">IF(A19="","",IFERROR(INDEX(客户档案!$K$2:$K$300,MATCH(A19,客户档案!$B$2:$B$300,0)),""))</f>
        <v/>
      </c>
      <c r="G19" s="10" t="str">
        <f aca="false">IF(A19="","",IF(ISNUMBER(F19),IF(AND(F19&gt;0,E19&gt;F19),"超额!先收款再供货",""),""))</f>
        <v/>
      </c>
    </row>
    <row r="20" customFormat="false" ht="15" hidden="false" customHeight="false" outlineLevel="0" collapsed="false">
      <c r="A20" s="10" t="str">
        <f aca="false">IF(客户档案!B20="","",客户档案!B20)</f>
        <v/>
      </c>
      <c r="B20" s="14"/>
      <c r="C20" s="11" t="str">
        <f aca="false">IF(A20="","",SUMIF(送货回执登记!$C$2:$C$500,A20,送货回执登记!$D$2:$D$500))</f>
        <v/>
      </c>
      <c r="D20" s="11" t="str">
        <f aca="false">IF(A20="","",SUMIF(收款记录!$B$2:$B$500,A20,收款记录!$C$2:$C$500))</f>
        <v/>
      </c>
      <c r="E20" s="11" t="str">
        <f aca="false">IF(A20="","",N(B20)+C20-D20)</f>
        <v/>
      </c>
      <c r="F20" s="11" t="str">
        <f aca="false">IF(A20="","",IFERROR(INDEX(客户档案!$K$2:$K$300,MATCH(A20,客户档案!$B$2:$B$300,0)),""))</f>
        <v/>
      </c>
      <c r="G20" s="10" t="str">
        <f aca="false">IF(A20="","",IF(ISNUMBER(F20),IF(AND(F20&gt;0,E20&gt;F20),"超额!先收款再供货",""),""))</f>
        <v/>
      </c>
    </row>
    <row r="21" customFormat="false" ht="15" hidden="false" customHeight="false" outlineLevel="0" collapsed="false">
      <c r="A21" s="10" t="str">
        <f aca="false">IF(客户档案!B21="","",客户档案!B21)</f>
        <v/>
      </c>
      <c r="B21" s="14"/>
      <c r="C21" s="11" t="str">
        <f aca="false">IF(A21="","",SUMIF(送货回执登记!$C$2:$C$500,A21,送货回执登记!$D$2:$D$500))</f>
        <v/>
      </c>
      <c r="D21" s="11" t="str">
        <f aca="false">IF(A21="","",SUMIF(收款记录!$B$2:$B$500,A21,收款记录!$C$2:$C$500))</f>
        <v/>
      </c>
      <c r="E21" s="11" t="str">
        <f aca="false">IF(A21="","",N(B21)+C21-D21)</f>
        <v/>
      </c>
      <c r="F21" s="11" t="str">
        <f aca="false">IF(A21="","",IFERROR(INDEX(客户档案!$K$2:$K$300,MATCH(A21,客户档案!$B$2:$B$300,0)),""))</f>
        <v/>
      </c>
      <c r="G21" s="10" t="str">
        <f aca="false">IF(A21="","",IF(ISNUMBER(F21),IF(AND(F21&gt;0,E21&gt;F21),"超额!先收款再供货",""),""))</f>
        <v/>
      </c>
    </row>
    <row r="22" customFormat="false" ht="15" hidden="false" customHeight="false" outlineLevel="0" collapsed="false">
      <c r="A22" s="10" t="str">
        <f aca="false">IF(客户档案!B22="","",客户档案!B22)</f>
        <v/>
      </c>
      <c r="B22" s="14"/>
      <c r="C22" s="11" t="str">
        <f aca="false">IF(A22="","",SUMIF(送货回执登记!$C$2:$C$500,A22,送货回执登记!$D$2:$D$500))</f>
        <v/>
      </c>
      <c r="D22" s="11" t="str">
        <f aca="false">IF(A22="","",SUMIF(收款记录!$B$2:$B$500,A22,收款记录!$C$2:$C$500))</f>
        <v/>
      </c>
      <c r="E22" s="11" t="str">
        <f aca="false">IF(A22="","",N(B22)+C22-D22)</f>
        <v/>
      </c>
      <c r="F22" s="11" t="str">
        <f aca="false">IF(A22="","",IFERROR(INDEX(客户档案!$K$2:$K$300,MATCH(A22,客户档案!$B$2:$B$300,0)),""))</f>
        <v/>
      </c>
      <c r="G22" s="10" t="str">
        <f aca="false">IF(A22="","",IF(ISNUMBER(F22),IF(AND(F22&gt;0,E22&gt;F22),"超额!先收款再供货",""),""))</f>
        <v/>
      </c>
    </row>
    <row r="23" customFormat="false" ht="15" hidden="false" customHeight="false" outlineLevel="0" collapsed="false">
      <c r="A23" s="10" t="str">
        <f aca="false">IF(客户档案!B23="","",客户档案!B23)</f>
        <v/>
      </c>
      <c r="B23" s="14"/>
      <c r="C23" s="11" t="str">
        <f aca="false">IF(A23="","",SUMIF(送货回执登记!$C$2:$C$500,A23,送货回执登记!$D$2:$D$500))</f>
        <v/>
      </c>
      <c r="D23" s="11" t="str">
        <f aca="false">IF(A23="","",SUMIF(收款记录!$B$2:$B$500,A23,收款记录!$C$2:$C$500))</f>
        <v/>
      </c>
      <c r="E23" s="11" t="str">
        <f aca="false">IF(A23="","",N(B23)+C23-D23)</f>
        <v/>
      </c>
      <c r="F23" s="11" t="str">
        <f aca="false">IF(A23="","",IFERROR(INDEX(客户档案!$K$2:$K$300,MATCH(A23,客户档案!$B$2:$B$300,0)),""))</f>
        <v/>
      </c>
      <c r="G23" s="10" t="str">
        <f aca="false">IF(A23="","",IF(ISNUMBER(F23),IF(AND(F23&gt;0,E23&gt;F23),"超额!先收款再供货",""),""))</f>
        <v/>
      </c>
    </row>
    <row r="24" customFormat="false" ht="15" hidden="false" customHeight="false" outlineLevel="0" collapsed="false">
      <c r="A24" s="10" t="str">
        <f aca="false">IF(客户档案!B24="","",客户档案!B24)</f>
        <v/>
      </c>
      <c r="B24" s="14"/>
      <c r="C24" s="11" t="str">
        <f aca="false">IF(A24="","",SUMIF(送货回执登记!$C$2:$C$500,A24,送货回执登记!$D$2:$D$500))</f>
        <v/>
      </c>
      <c r="D24" s="11" t="str">
        <f aca="false">IF(A24="","",SUMIF(收款记录!$B$2:$B$500,A24,收款记录!$C$2:$C$500))</f>
        <v/>
      </c>
      <c r="E24" s="11" t="str">
        <f aca="false">IF(A24="","",N(B24)+C24-D24)</f>
        <v/>
      </c>
      <c r="F24" s="11" t="str">
        <f aca="false">IF(A24="","",IFERROR(INDEX(客户档案!$K$2:$K$300,MATCH(A24,客户档案!$B$2:$B$300,0)),""))</f>
        <v/>
      </c>
      <c r="G24" s="10" t="str">
        <f aca="false">IF(A24="","",IF(ISNUMBER(F24),IF(AND(F24&gt;0,E24&gt;F24),"超额!先收款再供货",""),""))</f>
        <v/>
      </c>
    </row>
    <row r="25" customFormat="false" ht="15" hidden="false" customHeight="false" outlineLevel="0" collapsed="false">
      <c r="A25" s="10" t="str">
        <f aca="false">IF(客户档案!B25="","",客户档案!B25)</f>
        <v/>
      </c>
      <c r="B25" s="14"/>
      <c r="C25" s="11" t="str">
        <f aca="false">IF(A25="","",SUMIF(送货回执登记!$C$2:$C$500,A25,送货回执登记!$D$2:$D$500))</f>
        <v/>
      </c>
      <c r="D25" s="11" t="str">
        <f aca="false">IF(A25="","",SUMIF(收款记录!$B$2:$B$500,A25,收款记录!$C$2:$C$500))</f>
        <v/>
      </c>
      <c r="E25" s="11" t="str">
        <f aca="false">IF(A25="","",N(B25)+C25-D25)</f>
        <v/>
      </c>
      <c r="F25" s="11" t="str">
        <f aca="false">IF(A25="","",IFERROR(INDEX(客户档案!$K$2:$K$300,MATCH(A25,客户档案!$B$2:$B$300,0)),""))</f>
        <v/>
      </c>
      <c r="G25" s="10" t="str">
        <f aca="false">IF(A25="","",IF(ISNUMBER(F25),IF(AND(F25&gt;0,E25&gt;F25),"超额!先收款再供货",""),""))</f>
        <v/>
      </c>
    </row>
    <row r="26" customFormat="false" ht="15" hidden="false" customHeight="false" outlineLevel="0" collapsed="false">
      <c r="A26" s="10" t="str">
        <f aca="false">IF(客户档案!B26="","",客户档案!B26)</f>
        <v/>
      </c>
      <c r="B26" s="14"/>
      <c r="C26" s="11" t="str">
        <f aca="false">IF(A26="","",SUMIF(送货回执登记!$C$2:$C$500,A26,送货回执登记!$D$2:$D$500))</f>
        <v/>
      </c>
      <c r="D26" s="11" t="str">
        <f aca="false">IF(A26="","",SUMIF(收款记录!$B$2:$B$500,A26,收款记录!$C$2:$C$500))</f>
        <v/>
      </c>
      <c r="E26" s="11" t="str">
        <f aca="false">IF(A26="","",N(B26)+C26-D26)</f>
        <v/>
      </c>
      <c r="F26" s="11" t="str">
        <f aca="false">IF(A26="","",IFERROR(INDEX(客户档案!$K$2:$K$300,MATCH(A26,客户档案!$B$2:$B$300,0)),""))</f>
        <v/>
      </c>
      <c r="G26" s="10" t="str">
        <f aca="false">IF(A26="","",IF(ISNUMBER(F26),IF(AND(F26&gt;0,E26&gt;F26),"超额!先收款再供货",""),""))</f>
        <v/>
      </c>
    </row>
    <row r="27" customFormat="false" ht="15" hidden="false" customHeight="false" outlineLevel="0" collapsed="false">
      <c r="A27" s="10" t="str">
        <f aca="false">IF(客户档案!B27="","",客户档案!B27)</f>
        <v/>
      </c>
      <c r="B27" s="14"/>
      <c r="C27" s="11" t="str">
        <f aca="false">IF(A27="","",SUMIF(送货回执登记!$C$2:$C$500,A27,送货回执登记!$D$2:$D$500))</f>
        <v/>
      </c>
      <c r="D27" s="11" t="str">
        <f aca="false">IF(A27="","",SUMIF(收款记录!$B$2:$B$500,A27,收款记录!$C$2:$C$500))</f>
        <v/>
      </c>
      <c r="E27" s="11" t="str">
        <f aca="false">IF(A27="","",N(B27)+C27-D27)</f>
        <v/>
      </c>
      <c r="F27" s="11" t="str">
        <f aca="false">IF(A27="","",IFERROR(INDEX(客户档案!$K$2:$K$300,MATCH(A27,客户档案!$B$2:$B$300,0)),""))</f>
        <v/>
      </c>
      <c r="G27" s="10" t="str">
        <f aca="false">IF(A27="","",IF(ISNUMBER(F27),IF(AND(F27&gt;0,E27&gt;F27),"超额!先收款再供货",""),""))</f>
        <v/>
      </c>
    </row>
    <row r="28" customFormat="false" ht="15" hidden="false" customHeight="false" outlineLevel="0" collapsed="false">
      <c r="A28" s="10" t="str">
        <f aca="false">IF(客户档案!B28="","",客户档案!B28)</f>
        <v/>
      </c>
      <c r="B28" s="14"/>
      <c r="C28" s="11" t="str">
        <f aca="false">IF(A28="","",SUMIF(送货回执登记!$C$2:$C$500,A28,送货回执登记!$D$2:$D$500))</f>
        <v/>
      </c>
      <c r="D28" s="11" t="str">
        <f aca="false">IF(A28="","",SUMIF(收款记录!$B$2:$B$500,A28,收款记录!$C$2:$C$500))</f>
        <v/>
      </c>
      <c r="E28" s="11" t="str">
        <f aca="false">IF(A28="","",N(B28)+C28-D28)</f>
        <v/>
      </c>
      <c r="F28" s="11" t="str">
        <f aca="false">IF(A28="","",IFERROR(INDEX(客户档案!$K$2:$K$300,MATCH(A28,客户档案!$B$2:$B$300,0)),""))</f>
        <v/>
      </c>
      <c r="G28" s="10" t="str">
        <f aca="false">IF(A28="","",IF(ISNUMBER(F28),IF(AND(F28&gt;0,E28&gt;F28),"超额!先收款再供货",""),""))</f>
        <v/>
      </c>
    </row>
    <row r="29" customFormat="false" ht="15" hidden="false" customHeight="false" outlineLevel="0" collapsed="false">
      <c r="A29" s="10" t="str">
        <f aca="false">IF(客户档案!B29="","",客户档案!B29)</f>
        <v/>
      </c>
      <c r="B29" s="14"/>
      <c r="C29" s="11" t="str">
        <f aca="false">IF(A29="","",SUMIF(送货回执登记!$C$2:$C$500,A29,送货回执登记!$D$2:$D$500))</f>
        <v/>
      </c>
      <c r="D29" s="11" t="str">
        <f aca="false">IF(A29="","",SUMIF(收款记录!$B$2:$B$500,A29,收款记录!$C$2:$C$500))</f>
        <v/>
      </c>
      <c r="E29" s="11" t="str">
        <f aca="false">IF(A29="","",N(B29)+C29-D29)</f>
        <v/>
      </c>
      <c r="F29" s="11" t="str">
        <f aca="false">IF(A29="","",IFERROR(INDEX(客户档案!$K$2:$K$300,MATCH(A29,客户档案!$B$2:$B$300,0)),""))</f>
        <v/>
      </c>
      <c r="G29" s="10" t="str">
        <f aca="false">IF(A29="","",IF(ISNUMBER(F29),IF(AND(F29&gt;0,E29&gt;F29),"超额!先收款再供货",""),""))</f>
        <v/>
      </c>
    </row>
    <row r="30" customFormat="false" ht="15" hidden="false" customHeight="false" outlineLevel="0" collapsed="false">
      <c r="A30" s="10" t="str">
        <f aca="false">IF(客户档案!B30="","",客户档案!B30)</f>
        <v/>
      </c>
      <c r="B30" s="14"/>
      <c r="C30" s="11" t="str">
        <f aca="false">IF(A30="","",SUMIF(送货回执登记!$C$2:$C$500,A30,送货回执登记!$D$2:$D$500))</f>
        <v/>
      </c>
      <c r="D30" s="11" t="str">
        <f aca="false">IF(A30="","",SUMIF(收款记录!$B$2:$B$500,A30,收款记录!$C$2:$C$500))</f>
        <v/>
      </c>
      <c r="E30" s="11" t="str">
        <f aca="false">IF(A30="","",N(B30)+C30-D30)</f>
        <v/>
      </c>
      <c r="F30" s="11" t="str">
        <f aca="false">IF(A30="","",IFERROR(INDEX(客户档案!$K$2:$K$300,MATCH(A30,客户档案!$B$2:$B$300,0)),""))</f>
        <v/>
      </c>
      <c r="G30" s="10" t="str">
        <f aca="false">IF(A30="","",IF(ISNUMBER(F30),IF(AND(F30&gt;0,E30&gt;F30),"超额!先收款再供货",""),""))</f>
        <v/>
      </c>
    </row>
    <row r="31" customFormat="false" ht="15" hidden="false" customHeight="false" outlineLevel="0" collapsed="false">
      <c r="A31" s="10" t="str">
        <f aca="false">IF(客户档案!B31="","",客户档案!B31)</f>
        <v/>
      </c>
      <c r="B31" s="14"/>
      <c r="C31" s="11" t="str">
        <f aca="false">IF(A31="","",SUMIF(送货回执登记!$C$2:$C$500,A31,送货回执登记!$D$2:$D$500))</f>
        <v/>
      </c>
      <c r="D31" s="11" t="str">
        <f aca="false">IF(A31="","",SUMIF(收款记录!$B$2:$B$500,A31,收款记录!$C$2:$C$500))</f>
        <v/>
      </c>
      <c r="E31" s="11" t="str">
        <f aca="false">IF(A31="","",N(B31)+C31-D31)</f>
        <v/>
      </c>
      <c r="F31" s="11" t="str">
        <f aca="false">IF(A31="","",IFERROR(INDEX(客户档案!$K$2:$K$300,MATCH(A31,客户档案!$B$2:$B$300,0)),""))</f>
        <v/>
      </c>
      <c r="G31" s="10" t="str">
        <f aca="false">IF(A31="","",IF(ISNUMBER(F31),IF(AND(F31&gt;0,E31&gt;F31),"超额!先收款再供货",""),""))</f>
        <v/>
      </c>
    </row>
    <row r="32" customFormat="false" ht="15" hidden="false" customHeight="false" outlineLevel="0" collapsed="false">
      <c r="A32" s="10" t="str">
        <f aca="false">IF(客户档案!B32="","",客户档案!B32)</f>
        <v/>
      </c>
      <c r="B32" s="14"/>
      <c r="C32" s="11" t="str">
        <f aca="false">IF(A32="","",SUMIF(送货回执登记!$C$2:$C$500,A32,送货回执登记!$D$2:$D$500))</f>
        <v/>
      </c>
      <c r="D32" s="11" t="str">
        <f aca="false">IF(A32="","",SUMIF(收款记录!$B$2:$B$500,A32,收款记录!$C$2:$C$500))</f>
        <v/>
      </c>
      <c r="E32" s="11" t="str">
        <f aca="false">IF(A32="","",N(B32)+C32-D32)</f>
        <v/>
      </c>
      <c r="F32" s="11" t="str">
        <f aca="false">IF(A32="","",IFERROR(INDEX(客户档案!$K$2:$K$300,MATCH(A32,客户档案!$B$2:$B$300,0)),""))</f>
        <v/>
      </c>
      <c r="G32" s="10" t="str">
        <f aca="false">IF(A32="","",IF(ISNUMBER(F32),IF(AND(F32&gt;0,E32&gt;F32),"超额!先收款再供货",""),""))</f>
        <v/>
      </c>
    </row>
    <row r="33" customFormat="false" ht="15" hidden="false" customHeight="false" outlineLevel="0" collapsed="false">
      <c r="A33" s="10" t="str">
        <f aca="false">IF(客户档案!B33="","",客户档案!B33)</f>
        <v/>
      </c>
      <c r="B33" s="14"/>
      <c r="C33" s="11" t="str">
        <f aca="false">IF(A33="","",SUMIF(送货回执登记!$C$2:$C$500,A33,送货回执登记!$D$2:$D$500))</f>
        <v/>
      </c>
      <c r="D33" s="11" t="str">
        <f aca="false">IF(A33="","",SUMIF(收款记录!$B$2:$B$500,A33,收款记录!$C$2:$C$500))</f>
        <v/>
      </c>
      <c r="E33" s="11" t="str">
        <f aca="false">IF(A33="","",N(B33)+C33-D33)</f>
        <v/>
      </c>
      <c r="F33" s="11" t="str">
        <f aca="false">IF(A33="","",IFERROR(INDEX(客户档案!$K$2:$K$300,MATCH(A33,客户档案!$B$2:$B$300,0)),""))</f>
        <v/>
      </c>
      <c r="G33" s="10" t="str">
        <f aca="false">IF(A33="","",IF(ISNUMBER(F33),IF(AND(F33&gt;0,E33&gt;F33),"超额!先收款再供货",""),""))</f>
        <v/>
      </c>
    </row>
    <row r="34" customFormat="false" ht="15" hidden="false" customHeight="false" outlineLevel="0" collapsed="false">
      <c r="A34" s="10" t="str">
        <f aca="false">IF(客户档案!B34="","",客户档案!B34)</f>
        <v/>
      </c>
      <c r="B34" s="14"/>
      <c r="C34" s="11" t="str">
        <f aca="false">IF(A34="","",SUMIF(送货回执登记!$C$2:$C$500,A34,送货回执登记!$D$2:$D$500))</f>
        <v/>
      </c>
      <c r="D34" s="11" t="str">
        <f aca="false">IF(A34="","",SUMIF(收款记录!$B$2:$B$500,A34,收款记录!$C$2:$C$500))</f>
        <v/>
      </c>
      <c r="E34" s="11" t="str">
        <f aca="false">IF(A34="","",N(B34)+C34-D34)</f>
        <v/>
      </c>
      <c r="F34" s="11" t="str">
        <f aca="false">IF(A34="","",IFERROR(INDEX(客户档案!$K$2:$K$300,MATCH(A34,客户档案!$B$2:$B$300,0)),""))</f>
        <v/>
      </c>
      <c r="G34" s="10" t="str">
        <f aca="false">IF(A34="","",IF(ISNUMBER(F34),IF(AND(F34&gt;0,E34&gt;F34),"超额!先收款再供货",""),""))</f>
        <v/>
      </c>
    </row>
    <row r="35" customFormat="false" ht="15" hidden="false" customHeight="false" outlineLevel="0" collapsed="false">
      <c r="A35" s="10" t="str">
        <f aca="false">IF(客户档案!B35="","",客户档案!B35)</f>
        <v/>
      </c>
      <c r="B35" s="14"/>
      <c r="C35" s="11" t="str">
        <f aca="false">IF(A35="","",SUMIF(送货回执登记!$C$2:$C$500,A35,送货回执登记!$D$2:$D$500))</f>
        <v/>
      </c>
      <c r="D35" s="11" t="str">
        <f aca="false">IF(A35="","",SUMIF(收款记录!$B$2:$B$500,A35,收款记录!$C$2:$C$500))</f>
        <v/>
      </c>
      <c r="E35" s="11" t="str">
        <f aca="false">IF(A35="","",N(B35)+C35-D35)</f>
        <v/>
      </c>
      <c r="F35" s="11" t="str">
        <f aca="false">IF(A35="","",IFERROR(INDEX(客户档案!$K$2:$K$300,MATCH(A35,客户档案!$B$2:$B$300,0)),""))</f>
        <v/>
      </c>
      <c r="G35" s="10" t="str">
        <f aca="false">IF(A35="","",IF(ISNUMBER(F35),IF(AND(F35&gt;0,E35&gt;F35),"超额!先收款再供货",""),""))</f>
        <v/>
      </c>
    </row>
    <row r="36" customFormat="false" ht="15" hidden="false" customHeight="false" outlineLevel="0" collapsed="false">
      <c r="A36" s="10" t="str">
        <f aca="false">IF(客户档案!B36="","",客户档案!B36)</f>
        <v/>
      </c>
      <c r="B36" s="14"/>
      <c r="C36" s="11" t="str">
        <f aca="false">IF(A36="","",SUMIF(送货回执登记!$C$2:$C$500,A36,送货回执登记!$D$2:$D$500))</f>
        <v/>
      </c>
      <c r="D36" s="11" t="str">
        <f aca="false">IF(A36="","",SUMIF(收款记录!$B$2:$B$500,A36,收款记录!$C$2:$C$500))</f>
        <v/>
      </c>
      <c r="E36" s="11" t="str">
        <f aca="false">IF(A36="","",N(B36)+C36-D36)</f>
        <v/>
      </c>
      <c r="F36" s="11" t="str">
        <f aca="false">IF(A36="","",IFERROR(INDEX(客户档案!$K$2:$K$300,MATCH(A36,客户档案!$B$2:$B$300,0)),""))</f>
        <v/>
      </c>
      <c r="G36" s="10" t="str">
        <f aca="false">IF(A36="","",IF(ISNUMBER(F36),IF(AND(F36&gt;0,E36&gt;F36),"超额!先收款再供货",""),""))</f>
        <v/>
      </c>
    </row>
    <row r="37" customFormat="false" ht="15" hidden="false" customHeight="false" outlineLevel="0" collapsed="false">
      <c r="A37" s="10" t="str">
        <f aca="false">IF(客户档案!B37="","",客户档案!B37)</f>
        <v/>
      </c>
      <c r="B37" s="14"/>
      <c r="C37" s="11" t="str">
        <f aca="false">IF(A37="","",SUMIF(送货回执登记!$C$2:$C$500,A37,送货回执登记!$D$2:$D$500))</f>
        <v/>
      </c>
      <c r="D37" s="11" t="str">
        <f aca="false">IF(A37="","",SUMIF(收款记录!$B$2:$B$500,A37,收款记录!$C$2:$C$500))</f>
        <v/>
      </c>
      <c r="E37" s="11" t="str">
        <f aca="false">IF(A37="","",N(B37)+C37-D37)</f>
        <v/>
      </c>
      <c r="F37" s="11" t="str">
        <f aca="false">IF(A37="","",IFERROR(INDEX(客户档案!$K$2:$K$300,MATCH(A37,客户档案!$B$2:$B$300,0)),""))</f>
        <v/>
      </c>
      <c r="G37" s="10" t="str">
        <f aca="false">IF(A37="","",IF(ISNUMBER(F37),IF(AND(F37&gt;0,E37&gt;F37),"超额!先收款再供货",""),""))</f>
        <v/>
      </c>
    </row>
    <row r="38" customFormat="false" ht="15" hidden="false" customHeight="false" outlineLevel="0" collapsed="false">
      <c r="A38" s="10" t="str">
        <f aca="false">IF(客户档案!B38="","",客户档案!B38)</f>
        <v/>
      </c>
      <c r="B38" s="14"/>
      <c r="C38" s="11" t="str">
        <f aca="false">IF(A38="","",SUMIF(送货回执登记!$C$2:$C$500,A38,送货回执登记!$D$2:$D$500))</f>
        <v/>
      </c>
      <c r="D38" s="11" t="str">
        <f aca="false">IF(A38="","",SUMIF(收款记录!$B$2:$B$500,A38,收款记录!$C$2:$C$500))</f>
        <v/>
      </c>
      <c r="E38" s="11" t="str">
        <f aca="false">IF(A38="","",N(B38)+C38-D38)</f>
        <v/>
      </c>
      <c r="F38" s="11" t="str">
        <f aca="false">IF(A38="","",IFERROR(INDEX(客户档案!$K$2:$K$300,MATCH(A38,客户档案!$B$2:$B$300,0)),""))</f>
        <v/>
      </c>
      <c r="G38" s="10" t="str">
        <f aca="false">IF(A38="","",IF(ISNUMBER(F38),IF(AND(F38&gt;0,E38&gt;F38),"超额!先收款再供货",""),""))</f>
        <v/>
      </c>
    </row>
    <row r="39" customFormat="false" ht="15" hidden="false" customHeight="false" outlineLevel="0" collapsed="false">
      <c r="A39" s="10" t="str">
        <f aca="false">IF(客户档案!B39="","",客户档案!B39)</f>
        <v/>
      </c>
      <c r="B39" s="14"/>
      <c r="C39" s="11" t="str">
        <f aca="false">IF(A39="","",SUMIF(送货回执登记!$C$2:$C$500,A39,送货回执登记!$D$2:$D$500))</f>
        <v/>
      </c>
      <c r="D39" s="11" t="str">
        <f aca="false">IF(A39="","",SUMIF(收款记录!$B$2:$B$500,A39,收款记录!$C$2:$C$500))</f>
        <v/>
      </c>
      <c r="E39" s="11" t="str">
        <f aca="false">IF(A39="","",N(B39)+C39-D39)</f>
        <v/>
      </c>
      <c r="F39" s="11" t="str">
        <f aca="false">IF(A39="","",IFERROR(INDEX(客户档案!$K$2:$K$300,MATCH(A39,客户档案!$B$2:$B$300,0)),""))</f>
        <v/>
      </c>
      <c r="G39" s="10" t="str">
        <f aca="false">IF(A39="","",IF(ISNUMBER(F39),IF(AND(F39&gt;0,E39&gt;F39),"超额!先收款再供货",""),""))</f>
        <v/>
      </c>
    </row>
    <row r="40" customFormat="false" ht="15" hidden="false" customHeight="false" outlineLevel="0" collapsed="false">
      <c r="A40" s="10" t="str">
        <f aca="false">IF(客户档案!B40="","",客户档案!B40)</f>
        <v/>
      </c>
      <c r="B40" s="14"/>
      <c r="C40" s="11" t="str">
        <f aca="false">IF(A40="","",SUMIF(送货回执登记!$C$2:$C$500,A40,送货回执登记!$D$2:$D$500))</f>
        <v/>
      </c>
      <c r="D40" s="11" t="str">
        <f aca="false">IF(A40="","",SUMIF(收款记录!$B$2:$B$500,A40,收款记录!$C$2:$C$500))</f>
        <v/>
      </c>
      <c r="E40" s="11" t="str">
        <f aca="false">IF(A40="","",N(B40)+C40-D40)</f>
        <v/>
      </c>
      <c r="F40" s="11" t="str">
        <f aca="false">IF(A40="","",IFERROR(INDEX(客户档案!$K$2:$K$300,MATCH(A40,客户档案!$B$2:$B$300,0)),""))</f>
        <v/>
      </c>
      <c r="G40" s="10" t="str">
        <f aca="false">IF(A40="","",IF(ISNUMBER(F40),IF(AND(F40&gt;0,E40&gt;F40),"超额!先收款再供货",""),""))</f>
        <v/>
      </c>
    </row>
    <row r="41" customFormat="false" ht="15" hidden="false" customHeight="false" outlineLevel="0" collapsed="false">
      <c r="A41" s="10" t="str">
        <f aca="false">IF(客户档案!B41="","",客户档案!B41)</f>
        <v/>
      </c>
      <c r="B41" s="14"/>
      <c r="C41" s="11" t="str">
        <f aca="false">IF(A41="","",SUMIF(送货回执登记!$C$2:$C$500,A41,送货回执登记!$D$2:$D$500))</f>
        <v/>
      </c>
      <c r="D41" s="11" t="str">
        <f aca="false">IF(A41="","",SUMIF(收款记录!$B$2:$B$500,A41,收款记录!$C$2:$C$500))</f>
        <v/>
      </c>
      <c r="E41" s="11" t="str">
        <f aca="false">IF(A41="","",N(B41)+C41-D41)</f>
        <v/>
      </c>
      <c r="F41" s="11" t="str">
        <f aca="false">IF(A41="","",IFERROR(INDEX(客户档案!$K$2:$K$300,MATCH(A41,客户档案!$B$2:$B$300,0)),""))</f>
        <v/>
      </c>
      <c r="G41" s="10" t="str">
        <f aca="false">IF(A41="","",IF(ISNUMBER(F41),IF(AND(F41&gt;0,E41&gt;F41),"超额!先收款再供货",""),""))</f>
        <v/>
      </c>
    </row>
    <row r="42" customFormat="false" ht="15" hidden="false" customHeight="false" outlineLevel="0" collapsed="false">
      <c r="A42" s="10" t="str">
        <f aca="false">IF(客户档案!B42="","",客户档案!B42)</f>
        <v/>
      </c>
      <c r="B42" s="14"/>
      <c r="C42" s="11" t="str">
        <f aca="false">IF(A42="","",SUMIF(送货回执登记!$C$2:$C$500,A42,送货回执登记!$D$2:$D$500))</f>
        <v/>
      </c>
      <c r="D42" s="11" t="str">
        <f aca="false">IF(A42="","",SUMIF(收款记录!$B$2:$B$500,A42,收款记录!$C$2:$C$500))</f>
        <v/>
      </c>
      <c r="E42" s="11" t="str">
        <f aca="false">IF(A42="","",N(B42)+C42-D42)</f>
        <v/>
      </c>
      <c r="F42" s="11" t="str">
        <f aca="false">IF(A42="","",IFERROR(INDEX(客户档案!$K$2:$K$300,MATCH(A42,客户档案!$B$2:$B$300,0)),""))</f>
        <v/>
      </c>
      <c r="G42" s="10" t="str">
        <f aca="false">IF(A42="","",IF(ISNUMBER(F42),IF(AND(F42&gt;0,E42&gt;F42),"超额!先收款再供货",""),""))</f>
        <v/>
      </c>
    </row>
    <row r="43" customFormat="false" ht="15" hidden="false" customHeight="false" outlineLevel="0" collapsed="false">
      <c r="A43" s="10" t="str">
        <f aca="false">IF(客户档案!B43="","",客户档案!B43)</f>
        <v/>
      </c>
      <c r="B43" s="14"/>
      <c r="C43" s="11" t="str">
        <f aca="false">IF(A43="","",SUMIF(送货回执登记!$C$2:$C$500,A43,送货回执登记!$D$2:$D$500))</f>
        <v/>
      </c>
      <c r="D43" s="11" t="str">
        <f aca="false">IF(A43="","",SUMIF(收款记录!$B$2:$B$500,A43,收款记录!$C$2:$C$500))</f>
        <v/>
      </c>
      <c r="E43" s="11" t="str">
        <f aca="false">IF(A43="","",N(B43)+C43-D43)</f>
        <v/>
      </c>
      <c r="F43" s="11" t="str">
        <f aca="false">IF(A43="","",IFERROR(INDEX(客户档案!$K$2:$K$300,MATCH(A43,客户档案!$B$2:$B$300,0)),""))</f>
        <v/>
      </c>
      <c r="G43" s="10" t="str">
        <f aca="false">IF(A43="","",IF(ISNUMBER(F43),IF(AND(F43&gt;0,E43&gt;F43),"超额!先收款再供货",""),""))</f>
        <v/>
      </c>
    </row>
    <row r="44" customFormat="false" ht="15" hidden="false" customHeight="false" outlineLevel="0" collapsed="false">
      <c r="A44" s="10" t="str">
        <f aca="false">IF(客户档案!B44="","",客户档案!B44)</f>
        <v/>
      </c>
      <c r="B44" s="14"/>
      <c r="C44" s="11" t="str">
        <f aca="false">IF(A44="","",SUMIF(送货回执登记!$C$2:$C$500,A44,送货回执登记!$D$2:$D$500))</f>
        <v/>
      </c>
      <c r="D44" s="11" t="str">
        <f aca="false">IF(A44="","",SUMIF(收款记录!$B$2:$B$500,A44,收款记录!$C$2:$C$500))</f>
        <v/>
      </c>
      <c r="E44" s="11" t="str">
        <f aca="false">IF(A44="","",N(B44)+C44-D44)</f>
        <v/>
      </c>
      <c r="F44" s="11" t="str">
        <f aca="false">IF(A44="","",IFERROR(INDEX(客户档案!$K$2:$K$300,MATCH(A44,客户档案!$B$2:$B$300,0)),""))</f>
        <v/>
      </c>
      <c r="G44" s="10" t="str">
        <f aca="false">IF(A44="","",IF(ISNUMBER(F44),IF(AND(F44&gt;0,E44&gt;F44),"超额!先收款再供货",""),""))</f>
        <v/>
      </c>
    </row>
    <row r="45" customFormat="false" ht="15" hidden="false" customHeight="false" outlineLevel="0" collapsed="false">
      <c r="A45" s="10" t="str">
        <f aca="false">IF(客户档案!B45="","",客户档案!B45)</f>
        <v/>
      </c>
      <c r="B45" s="14"/>
      <c r="C45" s="11" t="str">
        <f aca="false">IF(A45="","",SUMIF(送货回执登记!$C$2:$C$500,A45,送货回执登记!$D$2:$D$500))</f>
        <v/>
      </c>
      <c r="D45" s="11" t="str">
        <f aca="false">IF(A45="","",SUMIF(收款记录!$B$2:$B$500,A45,收款记录!$C$2:$C$500))</f>
        <v/>
      </c>
      <c r="E45" s="11" t="str">
        <f aca="false">IF(A45="","",N(B45)+C45-D45)</f>
        <v/>
      </c>
      <c r="F45" s="11" t="str">
        <f aca="false">IF(A45="","",IFERROR(INDEX(客户档案!$K$2:$K$300,MATCH(A45,客户档案!$B$2:$B$300,0)),""))</f>
        <v/>
      </c>
      <c r="G45" s="10" t="str">
        <f aca="false">IF(A45="","",IF(ISNUMBER(F45),IF(AND(F45&gt;0,E45&gt;F45),"超额!先收款再供货",""),""))</f>
        <v/>
      </c>
    </row>
    <row r="46" customFormat="false" ht="15" hidden="false" customHeight="false" outlineLevel="0" collapsed="false">
      <c r="A46" s="10" t="str">
        <f aca="false">IF(客户档案!B46="","",客户档案!B46)</f>
        <v/>
      </c>
      <c r="B46" s="14"/>
      <c r="C46" s="11" t="str">
        <f aca="false">IF(A46="","",SUMIF(送货回执登记!$C$2:$C$500,A46,送货回执登记!$D$2:$D$500))</f>
        <v/>
      </c>
      <c r="D46" s="11" t="str">
        <f aca="false">IF(A46="","",SUMIF(收款记录!$B$2:$B$500,A46,收款记录!$C$2:$C$500))</f>
        <v/>
      </c>
      <c r="E46" s="11" t="str">
        <f aca="false">IF(A46="","",N(B46)+C46-D46)</f>
        <v/>
      </c>
      <c r="F46" s="11" t="str">
        <f aca="false">IF(A46="","",IFERROR(INDEX(客户档案!$K$2:$K$300,MATCH(A46,客户档案!$B$2:$B$300,0)),""))</f>
        <v/>
      </c>
      <c r="G46" s="10" t="str">
        <f aca="false">IF(A46="","",IF(ISNUMBER(F46),IF(AND(F46&gt;0,E46&gt;F46),"超额!先收款再供货",""),""))</f>
        <v/>
      </c>
    </row>
    <row r="47" customFormat="false" ht="15" hidden="false" customHeight="false" outlineLevel="0" collapsed="false">
      <c r="A47" s="10" t="str">
        <f aca="false">IF(客户档案!B47="","",客户档案!B47)</f>
        <v/>
      </c>
      <c r="B47" s="14"/>
      <c r="C47" s="11" t="str">
        <f aca="false">IF(A47="","",SUMIF(送货回执登记!$C$2:$C$500,A47,送货回执登记!$D$2:$D$500))</f>
        <v/>
      </c>
      <c r="D47" s="11" t="str">
        <f aca="false">IF(A47="","",SUMIF(收款记录!$B$2:$B$500,A47,收款记录!$C$2:$C$500))</f>
        <v/>
      </c>
      <c r="E47" s="11" t="str">
        <f aca="false">IF(A47="","",N(B47)+C47-D47)</f>
        <v/>
      </c>
      <c r="F47" s="11" t="str">
        <f aca="false">IF(A47="","",IFERROR(INDEX(客户档案!$K$2:$K$300,MATCH(A47,客户档案!$B$2:$B$300,0)),""))</f>
        <v/>
      </c>
      <c r="G47" s="10" t="str">
        <f aca="false">IF(A47="","",IF(ISNUMBER(F47),IF(AND(F47&gt;0,E47&gt;F47),"超额!先收款再供货",""),""))</f>
        <v/>
      </c>
    </row>
    <row r="48" customFormat="false" ht="15" hidden="false" customHeight="false" outlineLevel="0" collapsed="false">
      <c r="A48" s="10" t="str">
        <f aca="false">IF(客户档案!B48="","",客户档案!B48)</f>
        <v/>
      </c>
      <c r="B48" s="14"/>
      <c r="C48" s="11" t="str">
        <f aca="false">IF(A48="","",SUMIF(送货回执登记!$C$2:$C$500,A48,送货回执登记!$D$2:$D$500))</f>
        <v/>
      </c>
      <c r="D48" s="11" t="str">
        <f aca="false">IF(A48="","",SUMIF(收款记录!$B$2:$B$500,A48,收款记录!$C$2:$C$500))</f>
        <v/>
      </c>
      <c r="E48" s="11" t="str">
        <f aca="false">IF(A48="","",N(B48)+C48-D48)</f>
        <v/>
      </c>
      <c r="F48" s="11" t="str">
        <f aca="false">IF(A48="","",IFERROR(INDEX(客户档案!$K$2:$K$300,MATCH(A48,客户档案!$B$2:$B$300,0)),""))</f>
        <v/>
      </c>
      <c r="G48" s="10" t="str">
        <f aca="false">IF(A48="","",IF(ISNUMBER(F48),IF(AND(F48&gt;0,E48&gt;F48),"超额!先收款再供货",""),""))</f>
        <v/>
      </c>
    </row>
    <row r="49" customFormat="false" ht="15" hidden="false" customHeight="false" outlineLevel="0" collapsed="false">
      <c r="A49" s="10" t="str">
        <f aca="false">IF(客户档案!B49="","",客户档案!B49)</f>
        <v/>
      </c>
      <c r="B49" s="14"/>
      <c r="C49" s="11" t="str">
        <f aca="false">IF(A49="","",SUMIF(送货回执登记!$C$2:$C$500,A49,送货回执登记!$D$2:$D$500))</f>
        <v/>
      </c>
      <c r="D49" s="11" t="str">
        <f aca="false">IF(A49="","",SUMIF(收款记录!$B$2:$B$500,A49,收款记录!$C$2:$C$500))</f>
        <v/>
      </c>
      <c r="E49" s="11" t="str">
        <f aca="false">IF(A49="","",N(B49)+C49-D49)</f>
        <v/>
      </c>
      <c r="F49" s="11" t="str">
        <f aca="false">IF(A49="","",IFERROR(INDEX(客户档案!$K$2:$K$300,MATCH(A49,客户档案!$B$2:$B$300,0)),""))</f>
        <v/>
      </c>
      <c r="G49" s="10" t="str">
        <f aca="false">IF(A49="","",IF(ISNUMBER(F49),IF(AND(F49&gt;0,E49&gt;F49),"超额!先收款再供货",""),""))</f>
        <v/>
      </c>
    </row>
    <row r="50" customFormat="false" ht="15" hidden="false" customHeight="false" outlineLevel="0" collapsed="false">
      <c r="A50" s="10" t="str">
        <f aca="false">IF(客户档案!B50="","",客户档案!B50)</f>
        <v/>
      </c>
      <c r="B50" s="14"/>
      <c r="C50" s="11" t="str">
        <f aca="false">IF(A50="","",SUMIF(送货回执登记!$C$2:$C$500,A50,送货回执登记!$D$2:$D$500))</f>
        <v/>
      </c>
      <c r="D50" s="11" t="str">
        <f aca="false">IF(A50="","",SUMIF(收款记录!$B$2:$B$500,A50,收款记录!$C$2:$C$500))</f>
        <v/>
      </c>
      <c r="E50" s="11" t="str">
        <f aca="false">IF(A50="","",N(B50)+C50-D50)</f>
        <v/>
      </c>
      <c r="F50" s="11" t="str">
        <f aca="false">IF(A50="","",IFERROR(INDEX(客户档案!$K$2:$K$300,MATCH(A50,客户档案!$B$2:$B$300,0)),""))</f>
        <v/>
      </c>
      <c r="G50" s="10" t="str">
        <f aca="false">IF(A50="","",IF(ISNUMBER(F50),IF(AND(F50&gt;0,E50&gt;F50),"超额!先收款再供货",""),""))</f>
        <v/>
      </c>
    </row>
    <row r="51" customFormat="false" ht="15" hidden="false" customHeight="false" outlineLevel="0" collapsed="false">
      <c r="A51" s="10" t="str">
        <f aca="false">IF(客户档案!B51="","",客户档案!B51)</f>
        <v/>
      </c>
      <c r="B51" s="14"/>
      <c r="C51" s="11" t="str">
        <f aca="false">IF(A51="","",SUMIF(送货回执登记!$C$2:$C$500,A51,送货回执登记!$D$2:$D$500))</f>
        <v/>
      </c>
      <c r="D51" s="11" t="str">
        <f aca="false">IF(A51="","",SUMIF(收款记录!$B$2:$B$500,A51,收款记录!$C$2:$C$500))</f>
        <v/>
      </c>
      <c r="E51" s="11" t="str">
        <f aca="false">IF(A51="","",N(B51)+C51-D51)</f>
        <v/>
      </c>
      <c r="F51" s="11" t="str">
        <f aca="false">IF(A51="","",IFERROR(INDEX(客户档案!$K$2:$K$300,MATCH(A51,客户档案!$B$2:$B$300,0)),""))</f>
        <v/>
      </c>
      <c r="G51" s="10" t="str">
        <f aca="false">IF(A51="","",IF(ISNUMBER(F51),IF(AND(F51&gt;0,E51&gt;F51),"超额!先收款再供货",""),""))</f>
        <v/>
      </c>
    </row>
    <row r="52" customFormat="false" ht="15" hidden="false" customHeight="false" outlineLevel="0" collapsed="false">
      <c r="A52" s="10" t="str">
        <f aca="false">IF(客户档案!B52="","",客户档案!B52)</f>
        <v/>
      </c>
      <c r="B52" s="14"/>
      <c r="C52" s="11" t="str">
        <f aca="false">IF(A52="","",SUMIF(送货回执登记!$C$2:$C$500,A52,送货回执登记!$D$2:$D$500))</f>
        <v/>
      </c>
      <c r="D52" s="11" t="str">
        <f aca="false">IF(A52="","",SUMIF(收款记录!$B$2:$B$500,A52,收款记录!$C$2:$C$500))</f>
        <v/>
      </c>
      <c r="E52" s="11" t="str">
        <f aca="false">IF(A52="","",N(B52)+C52-D52)</f>
        <v/>
      </c>
      <c r="F52" s="11" t="str">
        <f aca="false">IF(A52="","",IFERROR(INDEX(客户档案!$K$2:$K$300,MATCH(A52,客户档案!$B$2:$B$300,0)),""))</f>
        <v/>
      </c>
      <c r="G52" s="10" t="str">
        <f aca="false">IF(A52="","",IF(ISNUMBER(F52),IF(AND(F52&gt;0,E52&gt;F52),"超额!先收款再供货",""),""))</f>
        <v/>
      </c>
    </row>
    <row r="53" customFormat="false" ht="15" hidden="false" customHeight="false" outlineLevel="0" collapsed="false">
      <c r="A53" s="10" t="str">
        <f aca="false">IF(客户档案!B53="","",客户档案!B53)</f>
        <v/>
      </c>
      <c r="B53" s="14"/>
      <c r="C53" s="11" t="str">
        <f aca="false">IF(A53="","",SUMIF(送货回执登记!$C$2:$C$500,A53,送货回执登记!$D$2:$D$500))</f>
        <v/>
      </c>
      <c r="D53" s="11" t="str">
        <f aca="false">IF(A53="","",SUMIF(收款记录!$B$2:$B$500,A53,收款记录!$C$2:$C$500))</f>
        <v/>
      </c>
      <c r="E53" s="11" t="str">
        <f aca="false">IF(A53="","",N(B53)+C53-D53)</f>
        <v/>
      </c>
      <c r="F53" s="11" t="str">
        <f aca="false">IF(A53="","",IFERROR(INDEX(客户档案!$K$2:$K$300,MATCH(A53,客户档案!$B$2:$B$300,0)),""))</f>
        <v/>
      </c>
      <c r="G53" s="10" t="str">
        <f aca="false">IF(A53="","",IF(ISNUMBER(F53),IF(AND(F53&gt;0,E53&gt;F53),"超额!先收款再供货",""),""))</f>
        <v/>
      </c>
    </row>
    <row r="54" customFormat="false" ht="15" hidden="false" customHeight="false" outlineLevel="0" collapsed="false">
      <c r="A54" s="10" t="str">
        <f aca="false">IF(客户档案!B54="","",客户档案!B54)</f>
        <v/>
      </c>
      <c r="B54" s="14"/>
      <c r="C54" s="11" t="str">
        <f aca="false">IF(A54="","",SUMIF(送货回执登记!$C$2:$C$500,A54,送货回执登记!$D$2:$D$500))</f>
        <v/>
      </c>
      <c r="D54" s="11" t="str">
        <f aca="false">IF(A54="","",SUMIF(收款记录!$B$2:$B$500,A54,收款记录!$C$2:$C$500))</f>
        <v/>
      </c>
      <c r="E54" s="11" t="str">
        <f aca="false">IF(A54="","",N(B54)+C54-D54)</f>
        <v/>
      </c>
      <c r="F54" s="11" t="str">
        <f aca="false">IF(A54="","",IFERROR(INDEX(客户档案!$K$2:$K$300,MATCH(A54,客户档案!$B$2:$B$300,0)),""))</f>
        <v/>
      </c>
      <c r="G54" s="10" t="str">
        <f aca="false">IF(A54="","",IF(ISNUMBER(F54),IF(AND(F54&gt;0,E54&gt;F54),"超额!先收款再供货",""),""))</f>
        <v/>
      </c>
    </row>
    <row r="55" customFormat="false" ht="15" hidden="false" customHeight="false" outlineLevel="0" collapsed="false">
      <c r="A55" s="10" t="str">
        <f aca="false">IF(客户档案!B55="","",客户档案!B55)</f>
        <v/>
      </c>
      <c r="B55" s="14"/>
      <c r="C55" s="11" t="str">
        <f aca="false">IF(A55="","",SUMIF(送货回执登记!$C$2:$C$500,A55,送货回执登记!$D$2:$D$500))</f>
        <v/>
      </c>
      <c r="D55" s="11" t="str">
        <f aca="false">IF(A55="","",SUMIF(收款记录!$B$2:$B$500,A55,收款记录!$C$2:$C$500))</f>
        <v/>
      </c>
      <c r="E55" s="11" t="str">
        <f aca="false">IF(A55="","",N(B55)+C55-D55)</f>
        <v/>
      </c>
      <c r="F55" s="11" t="str">
        <f aca="false">IF(A55="","",IFERROR(INDEX(客户档案!$K$2:$K$300,MATCH(A55,客户档案!$B$2:$B$300,0)),""))</f>
        <v/>
      </c>
      <c r="G55" s="10" t="str">
        <f aca="false">IF(A55="","",IF(ISNUMBER(F55),IF(AND(F55&gt;0,E55&gt;F55),"超额!先收款再供货",""),""))</f>
        <v/>
      </c>
    </row>
    <row r="56" customFormat="false" ht="15" hidden="false" customHeight="false" outlineLevel="0" collapsed="false">
      <c r="A56" s="10" t="str">
        <f aca="false">IF(客户档案!B56="","",客户档案!B56)</f>
        <v/>
      </c>
      <c r="B56" s="14"/>
      <c r="C56" s="11" t="str">
        <f aca="false">IF(A56="","",SUMIF(送货回执登记!$C$2:$C$500,A56,送货回执登记!$D$2:$D$500))</f>
        <v/>
      </c>
      <c r="D56" s="11" t="str">
        <f aca="false">IF(A56="","",SUMIF(收款记录!$B$2:$B$500,A56,收款记录!$C$2:$C$500))</f>
        <v/>
      </c>
      <c r="E56" s="11" t="str">
        <f aca="false">IF(A56="","",N(B56)+C56-D56)</f>
        <v/>
      </c>
      <c r="F56" s="11" t="str">
        <f aca="false">IF(A56="","",IFERROR(INDEX(客户档案!$K$2:$K$300,MATCH(A56,客户档案!$B$2:$B$300,0)),""))</f>
        <v/>
      </c>
      <c r="G56" s="10" t="str">
        <f aca="false">IF(A56="","",IF(ISNUMBER(F56),IF(AND(F56&gt;0,E56&gt;F56),"超额!先收款再供货",""),""))</f>
        <v/>
      </c>
    </row>
    <row r="57" customFormat="false" ht="15" hidden="false" customHeight="false" outlineLevel="0" collapsed="false">
      <c r="A57" s="10" t="str">
        <f aca="false">IF(客户档案!B57="","",客户档案!B57)</f>
        <v/>
      </c>
      <c r="B57" s="14"/>
      <c r="C57" s="11" t="str">
        <f aca="false">IF(A57="","",SUMIF(送货回执登记!$C$2:$C$500,A57,送货回执登记!$D$2:$D$500))</f>
        <v/>
      </c>
      <c r="D57" s="11" t="str">
        <f aca="false">IF(A57="","",SUMIF(收款记录!$B$2:$B$500,A57,收款记录!$C$2:$C$500))</f>
        <v/>
      </c>
      <c r="E57" s="11" t="str">
        <f aca="false">IF(A57="","",N(B57)+C57-D57)</f>
        <v/>
      </c>
      <c r="F57" s="11" t="str">
        <f aca="false">IF(A57="","",IFERROR(INDEX(客户档案!$K$2:$K$300,MATCH(A57,客户档案!$B$2:$B$300,0)),""))</f>
        <v/>
      </c>
      <c r="G57" s="10" t="str">
        <f aca="false">IF(A57="","",IF(ISNUMBER(F57),IF(AND(F57&gt;0,E57&gt;F57),"超额!先收款再供货",""),""))</f>
        <v/>
      </c>
    </row>
    <row r="58" customFormat="false" ht="15" hidden="false" customHeight="false" outlineLevel="0" collapsed="false">
      <c r="A58" s="10" t="str">
        <f aca="false">IF(客户档案!B58="","",客户档案!B58)</f>
        <v/>
      </c>
      <c r="B58" s="14"/>
      <c r="C58" s="11" t="str">
        <f aca="false">IF(A58="","",SUMIF(送货回执登记!$C$2:$C$500,A58,送货回执登记!$D$2:$D$500))</f>
        <v/>
      </c>
      <c r="D58" s="11" t="str">
        <f aca="false">IF(A58="","",SUMIF(收款记录!$B$2:$B$500,A58,收款记录!$C$2:$C$500))</f>
        <v/>
      </c>
      <c r="E58" s="11" t="str">
        <f aca="false">IF(A58="","",N(B58)+C58-D58)</f>
        <v/>
      </c>
      <c r="F58" s="11" t="str">
        <f aca="false">IF(A58="","",IFERROR(INDEX(客户档案!$K$2:$K$300,MATCH(A58,客户档案!$B$2:$B$300,0)),""))</f>
        <v/>
      </c>
      <c r="G58" s="10" t="str">
        <f aca="false">IF(A58="","",IF(ISNUMBER(F58),IF(AND(F58&gt;0,E58&gt;F58),"超额!先收款再供货",""),""))</f>
        <v/>
      </c>
    </row>
    <row r="59" customFormat="false" ht="15" hidden="false" customHeight="false" outlineLevel="0" collapsed="false">
      <c r="A59" s="10" t="str">
        <f aca="false">IF(客户档案!B59="","",客户档案!B59)</f>
        <v/>
      </c>
      <c r="B59" s="14"/>
      <c r="C59" s="11" t="str">
        <f aca="false">IF(A59="","",SUMIF(送货回执登记!$C$2:$C$500,A59,送货回执登记!$D$2:$D$500))</f>
        <v/>
      </c>
      <c r="D59" s="11" t="str">
        <f aca="false">IF(A59="","",SUMIF(收款记录!$B$2:$B$500,A59,收款记录!$C$2:$C$500))</f>
        <v/>
      </c>
      <c r="E59" s="11" t="str">
        <f aca="false">IF(A59="","",N(B59)+C59-D59)</f>
        <v/>
      </c>
      <c r="F59" s="11" t="str">
        <f aca="false">IF(A59="","",IFERROR(INDEX(客户档案!$K$2:$K$300,MATCH(A59,客户档案!$B$2:$B$300,0)),""))</f>
        <v/>
      </c>
      <c r="G59" s="10" t="str">
        <f aca="false">IF(A59="","",IF(ISNUMBER(F59),IF(AND(F59&gt;0,E59&gt;F59),"超额!先收款再供货",""),""))</f>
        <v/>
      </c>
    </row>
    <row r="60" customFormat="false" ht="15" hidden="false" customHeight="false" outlineLevel="0" collapsed="false">
      <c r="A60" s="10" t="str">
        <f aca="false">IF(客户档案!B60="","",客户档案!B60)</f>
        <v/>
      </c>
      <c r="B60" s="14"/>
      <c r="C60" s="11" t="str">
        <f aca="false">IF(A60="","",SUMIF(送货回执登记!$C$2:$C$500,A60,送货回执登记!$D$2:$D$500))</f>
        <v/>
      </c>
      <c r="D60" s="11" t="str">
        <f aca="false">IF(A60="","",SUMIF(收款记录!$B$2:$B$500,A60,收款记录!$C$2:$C$500))</f>
        <v/>
      </c>
      <c r="E60" s="11" t="str">
        <f aca="false">IF(A60="","",N(B60)+C60-D60)</f>
        <v/>
      </c>
      <c r="F60" s="11" t="str">
        <f aca="false">IF(A60="","",IFERROR(INDEX(客户档案!$K$2:$K$300,MATCH(A60,客户档案!$B$2:$B$300,0)),""))</f>
        <v/>
      </c>
      <c r="G60" s="10" t="str">
        <f aca="false">IF(A60="","",IF(ISNUMBER(F60),IF(AND(F60&gt;0,E60&gt;F60),"超额!先收款再供货",""),""))</f>
        <v/>
      </c>
    </row>
    <row r="61" customFormat="false" ht="15" hidden="false" customHeight="false" outlineLevel="0" collapsed="false">
      <c r="A61" s="10" t="str">
        <f aca="false">IF(客户档案!B61="","",客户档案!B61)</f>
        <v/>
      </c>
      <c r="B61" s="14"/>
      <c r="C61" s="11" t="str">
        <f aca="false">IF(A61="","",SUMIF(送货回执登记!$C$2:$C$500,A61,送货回执登记!$D$2:$D$500))</f>
        <v/>
      </c>
      <c r="D61" s="11" t="str">
        <f aca="false">IF(A61="","",SUMIF(收款记录!$B$2:$B$500,A61,收款记录!$C$2:$C$500))</f>
        <v/>
      </c>
      <c r="E61" s="11" t="str">
        <f aca="false">IF(A61="","",N(B61)+C61-D61)</f>
        <v/>
      </c>
      <c r="F61" s="11" t="str">
        <f aca="false">IF(A61="","",IFERROR(INDEX(客户档案!$K$2:$K$300,MATCH(A61,客户档案!$B$2:$B$300,0)),""))</f>
        <v/>
      </c>
      <c r="G61" s="10" t="str">
        <f aca="false">IF(A61="","",IF(ISNUMBER(F61),IF(AND(F61&gt;0,E61&gt;F61),"超额!先收款再供货",""),""))</f>
        <v/>
      </c>
    </row>
    <row r="62" customFormat="false" ht="15" hidden="false" customHeight="false" outlineLevel="0" collapsed="false">
      <c r="A62" s="10" t="str">
        <f aca="false">IF(客户档案!B62="","",客户档案!B62)</f>
        <v/>
      </c>
      <c r="B62" s="14"/>
      <c r="C62" s="11" t="str">
        <f aca="false">IF(A62="","",SUMIF(送货回执登记!$C$2:$C$500,A62,送货回执登记!$D$2:$D$500))</f>
        <v/>
      </c>
      <c r="D62" s="11" t="str">
        <f aca="false">IF(A62="","",SUMIF(收款记录!$B$2:$B$500,A62,收款记录!$C$2:$C$500))</f>
        <v/>
      </c>
      <c r="E62" s="11" t="str">
        <f aca="false">IF(A62="","",N(B62)+C62-D62)</f>
        <v/>
      </c>
      <c r="F62" s="11" t="str">
        <f aca="false">IF(A62="","",IFERROR(INDEX(客户档案!$K$2:$K$300,MATCH(A62,客户档案!$B$2:$B$300,0)),""))</f>
        <v/>
      </c>
      <c r="G62" s="10" t="str">
        <f aca="false">IF(A62="","",IF(ISNUMBER(F62),IF(AND(F62&gt;0,E62&gt;F62),"超额!先收款再供货",""),""))</f>
        <v/>
      </c>
    </row>
    <row r="63" customFormat="false" ht="15" hidden="false" customHeight="false" outlineLevel="0" collapsed="false">
      <c r="A63" s="10" t="str">
        <f aca="false">IF(客户档案!B63="","",客户档案!B63)</f>
        <v/>
      </c>
      <c r="B63" s="14"/>
      <c r="C63" s="11" t="str">
        <f aca="false">IF(A63="","",SUMIF(送货回执登记!$C$2:$C$500,A63,送货回执登记!$D$2:$D$500))</f>
        <v/>
      </c>
      <c r="D63" s="11" t="str">
        <f aca="false">IF(A63="","",SUMIF(收款记录!$B$2:$B$500,A63,收款记录!$C$2:$C$500))</f>
        <v/>
      </c>
      <c r="E63" s="11" t="str">
        <f aca="false">IF(A63="","",N(B63)+C63-D63)</f>
        <v/>
      </c>
      <c r="F63" s="11" t="str">
        <f aca="false">IF(A63="","",IFERROR(INDEX(客户档案!$K$2:$K$300,MATCH(A63,客户档案!$B$2:$B$300,0)),""))</f>
        <v/>
      </c>
      <c r="G63" s="10" t="str">
        <f aca="false">IF(A63="","",IF(ISNUMBER(F63),IF(AND(F63&gt;0,E63&gt;F63),"超额!先收款再供货",""),""))</f>
        <v/>
      </c>
    </row>
    <row r="64" customFormat="false" ht="15" hidden="false" customHeight="false" outlineLevel="0" collapsed="false">
      <c r="A64" s="10" t="str">
        <f aca="false">IF(客户档案!B64="","",客户档案!B64)</f>
        <v/>
      </c>
      <c r="B64" s="14"/>
      <c r="C64" s="11" t="str">
        <f aca="false">IF(A64="","",SUMIF(送货回执登记!$C$2:$C$500,A64,送货回执登记!$D$2:$D$500))</f>
        <v/>
      </c>
      <c r="D64" s="11" t="str">
        <f aca="false">IF(A64="","",SUMIF(收款记录!$B$2:$B$500,A64,收款记录!$C$2:$C$500))</f>
        <v/>
      </c>
      <c r="E64" s="11" t="str">
        <f aca="false">IF(A64="","",N(B64)+C64-D64)</f>
        <v/>
      </c>
      <c r="F64" s="11" t="str">
        <f aca="false">IF(A64="","",IFERROR(INDEX(客户档案!$K$2:$K$300,MATCH(A64,客户档案!$B$2:$B$300,0)),""))</f>
        <v/>
      </c>
      <c r="G64" s="10" t="str">
        <f aca="false">IF(A64="","",IF(ISNUMBER(F64),IF(AND(F64&gt;0,E64&gt;F64),"超额!先收款再供货",""),""))</f>
        <v/>
      </c>
    </row>
    <row r="65" customFormat="false" ht="15" hidden="false" customHeight="false" outlineLevel="0" collapsed="false">
      <c r="A65" s="10" t="str">
        <f aca="false">IF(客户档案!B65="","",客户档案!B65)</f>
        <v/>
      </c>
      <c r="B65" s="14"/>
      <c r="C65" s="11" t="str">
        <f aca="false">IF(A65="","",SUMIF(送货回执登记!$C$2:$C$500,A65,送货回执登记!$D$2:$D$500))</f>
        <v/>
      </c>
      <c r="D65" s="11" t="str">
        <f aca="false">IF(A65="","",SUMIF(收款记录!$B$2:$B$500,A65,收款记录!$C$2:$C$500))</f>
        <v/>
      </c>
      <c r="E65" s="11" t="str">
        <f aca="false">IF(A65="","",N(B65)+C65-D65)</f>
        <v/>
      </c>
      <c r="F65" s="11" t="str">
        <f aca="false">IF(A65="","",IFERROR(INDEX(客户档案!$K$2:$K$300,MATCH(A65,客户档案!$B$2:$B$300,0)),""))</f>
        <v/>
      </c>
      <c r="G65" s="10" t="str">
        <f aca="false">IF(A65="","",IF(ISNUMBER(F65),IF(AND(F65&gt;0,E65&gt;F65),"超额!先收款再供货",""),""))</f>
        <v/>
      </c>
    </row>
    <row r="66" customFormat="false" ht="15" hidden="false" customHeight="false" outlineLevel="0" collapsed="false">
      <c r="A66" s="10" t="str">
        <f aca="false">IF(客户档案!B66="","",客户档案!B66)</f>
        <v/>
      </c>
      <c r="B66" s="14"/>
      <c r="C66" s="11" t="str">
        <f aca="false">IF(A66="","",SUMIF(送货回执登记!$C$2:$C$500,A66,送货回执登记!$D$2:$D$500))</f>
        <v/>
      </c>
      <c r="D66" s="11" t="str">
        <f aca="false">IF(A66="","",SUMIF(收款记录!$B$2:$B$500,A66,收款记录!$C$2:$C$500))</f>
        <v/>
      </c>
      <c r="E66" s="11" t="str">
        <f aca="false">IF(A66="","",N(B66)+C66-D66)</f>
        <v/>
      </c>
      <c r="F66" s="11" t="str">
        <f aca="false">IF(A66="","",IFERROR(INDEX(客户档案!$K$2:$K$300,MATCH(A66,客户档案!$B$2:$B$300,0)),""))</f>
        <v/>
      </c>
      <c r="G66" s="10" t="str">
        <f aca="false">IF(A66="","",IF(ISNUMBER(F66),IF(AND(F66&gt;0,E66&gt;F66),"超额!先收款再供货",""),""))</f>
        <v/>
      </c>
    </row>
    <row r="67" customFormat="false" ht="15" hidden="false" customHeight="false" outlineLevel="0" collapsed="false">
      <c r="A67" s="10" t="str">
        <f aca="false">IF(客户档案!B67="","",客户档案!B67)</f>
        <v/>
      </c>
      <c r="B67" s="14"/>
      <c r="C67" s="11" t="str">
        <f aca="false">IF(A67="","",SUMIF(送货回执登记!$C$2:$C$500,A67,送货回执登记!$D$2:$D$500))</f>
        <v/>
      </c>
      <c r="D67" s="11" t="str">
        <f aca="false">IF(A67="","",SUMIF(收款记录!$B$2:$B$500,A67,收款记录!$C$2:$C$500))</f>
        <v/>
      </c>
      <c r="E67" s="11" t="str">
        <f aca="false">IF(A67="","",N(B67)+C67-D67)</f>
        <v/>
      </c>
      <c r="F67" s="11" t="str">
        <f aca="false">IF(A67="","",IFERROR(INDEX(客户档案!$K$2:$K$300,MATCH(A67,客户档案!$B$2:$B$300,0)),""))</f>
        <v/>
      </c>
      <c r="G67" s="10" t="str">
        <f aca="false">IF(A67="","",IF(ISNUMBER(F67),IF(AND(F67&gt;0,E67&gt;F67),"超额!先收款再供货",""),""))</f>
        <v/>
      </c>
    </row>
    <row r="68" customFormat="false" ht="15" hidden="false" customHeight="false" outlineLevel="0" collapsed="false">
      <c r="A68" s="10" t="str">
        <f aca="false">IF(客户档案!B68="","",客户档案!B68)</f>
        <v/>
      </c>
      <c r="B68" s="14"/>
      <c r="C68" s="11" t="str">
        <f aca="false">IF(A68="","",SUMIF(送货回执登记!$C$2:$C$500,A68,送货回执登记!$D$2:$D$500))</f>
        <v/>
      </c>
      <c r="D68" s="11" t="str">
        <f aca="false">IF(A68="","",SUMIF(收款记录!$B$2:$B$500,A68,收款记录!$C$2:$C$500))</f>
        <v/>
      </c>
      <c r="E68" s="11" t="str">
        <f aca="false">IF(A68="","",N(B68)+C68-D68)</f>
        <v/>
      </c>
      <c r="F68" s="11" t="str">
        <f aca="false">IF(A68="","",IFERROR(INDEX(客户档案!$K$2:$K$300,MATCH(A68,客户档案!$B$2:$B$300,0)),""))</f>
        <v/>
      </c>
      <c r="G68" s="10" t="str">
        <f aca="false">IF(A68="","",IF(ISNUMBER(F68),IF(AND(F68&gt;0,E68&gt;F68),"超额!先收款再供货",""),""))</f>
        <v/>
      </c>
    </row>
    <row r="69" customFormat="false" ht="15" hidden="false" customHeight="false" outlineLevel="0" collapsed="false">
      <c r="A69" s="10" t="str">
        <f aca="false">IF(客户档案!B69="","",客户档案!B69)</f>
        <v/>
      </c>
      <c r="B69" s="14"/>
      <c r="C69" s="11" t="str">
        <f aca="false">IF(A69="","",SUMIF(送货回执登记!$C$2:$C$500,A69,送货回执登记!$D$2:$D$500))</f>
        <v/>
      </c>
      <c r="D69" s="11" t="str">
        <f aca="false">IF(A69="","",SUMIF(收款记录!$B$2:$B$500,A69,收款记录!$C$2:$C$500))</f>
        <v/>
      </c>
      <c r="E69" s="11" t="str">
        <f aca="false">IF(A69="","",N(B69)+C69-D69)</f>
        <v/>
      </c>
      <c r="F69" s="11" t="str">
        <f aca="false">IF(A69="","",IFERROR(INDEX(客户档案!$K$2:$K$300,MATCH(A69,客户档案!$B$2:$B$300,0)),""))</f>
        <v/>
      </c>
      <c r="G69" s="10" t="str">
        <f aca="false">IF(A69="","",IF(ISNUMBER(F69),IF(AND(F69&gt;0,E69&gt;F69),"超额!先收款再供货",""),""))</f>
        <v/>
      </c>
    </row>
    <row r="70" customFormat="false" ht="15" hidden="false" customHeight="false" outlineLevel="0" collapsed="false">
      <c r="A70" s="10" t="str">
        <f aca="false">IF(客户档案!B70="","",客户档案!B70)</f>
        <v/>
      </c>
      <c r="B70" s="14"/>
      <c r="C70" s="11" t="str">
        <f aca="false">IF(A70="","",SUMIF(送货回执登记!$C$2:$C$500,A70,送货回执登记!$D$2:$D$500))</f>
        <v/>
      </c>
      <c r="D70" s="11" t="str">
        <f aca="false">IF(A70="","",SUMIF(收款记录!$B$2:$B$500,A70,收款记录!$C$2:$C$500))</f>
        <v/>
      </c>
      <c r="E70" s="11" t="str">
        <f aca="false">IF(A70="","",N(B70)+C70-D70)</f>
        <v/>
      </c>
      <c r="F70" s="11" t="str">
        <f aca="false">IF(A70="","",IFERROR(INDEX(客户档案!$K$2:$K$300,MATCH(A70,客户档案!$B$2:$B$300,0)),""))</f>
        <v/>
      </c>
      <c r="G70" s="10" t="str">
        <f aca="false">IF(A70="","",IF(ISNUMBER(F70),IF(AND(F70&gt;0,E70&gt;F70),"超额!先收款再供货",""),""))</f>
        <v/>
      </c>
    </row>
    <row r="71" customFormat="false" ht="15" hidden="false" customHeight="false" outlineLevel="0" collapsed="false">
      <c r="A71" s="10" t="str">
        <f aca="false">IF(客户档案!B71="","",客户档案!B71)</f>
        <v/>
      </c>
      <c r="B71" s="14"/>
      <c r="C71" s="11" t="str">
        <f aca="false">IF(A71="","",SUMIF(送货回执登记!$C$2:$C$500,A71,送货回执登记!$D$2:$D$500))</f>
        <v/>
      </c>
      <c r="D71" s="11" t="str">
        <f aca="false">IF(A71="","",SUMIF(收款记录!$B$2:$B$500,A71,收款记录!$C$2:$C$500))</f>
        <v/>
      </c>
      <c r="E71" s="11" t="str">
        <f aca="false">IF(A71="","",N(B71)+C71-D71)</f>
        <v/>
      </c>
      <c r="F71" s="11" t="str">
        <f aca="false">IF(A71="","",IFERROR(INDEX(客户档案!$K$2:$K$300,MATCH(A71,客户档案!$B$2:$B$300,0)),""))</f>
        <v/>
      </c>
      <c r="G71" s="10" t="str">
        <f aca="false">IF(A71="","",IF(ISNUMBER(F71),IF(AND(F71&gt;0,E71&gt;F71),"超额!先收款再供货",""),""))</f>
        <v/>
      </c>
    </row>
    <row r="72" customFormat="false" ht="15" hidden="false" customHeight="false" outlineLevel="0" collapsed="false">
      <c r="A72" s="10" t="str">
        <f aca="false">IF(客户档案!B72="","",客户档案!B72)</f>
        <v/>
      </c>
      <c r="B72" s="14"/>
      <c r="C72" s="11" t="str">
        <f aca="false">IF(A72="","",SUMIF(送货回执登记!$C$2:$C$500,A72,送货回执登记!$D$2:$D$500))</f>
        <v/>
      </c>
      <c r="D72" s="11" t="str">
        <f aca="false">IF(A72="","",SUMIF(收款记录!$B$2:$B$500,A72,收款记录!$C$2:$C$500))</f>
        <v/>
      </c>
      <c r="E72" s="11" t="str">
        <f aca="false">IF(A72="","",N(B72)+C72-D72)</f>
        <v/>
      </c>
      <c r="F72" s="11" t="str">
        <f aca="false">IF(A72="","",IFERROR(INDEX(客户档案!$K$2:$K$300,MATCH(A72,客户档案!$B$2:$B$300,0)),""))</f>
        <v/>
      </c>
      <c r="G72" s="10" t="str">
        <f aca="false">IF(A72="","",IF(ISNUMBER(F72),IF(AND(F72&gt;0,E72&gt;F72),"超额!先收款再供货",""),""))</f>
        <v/>
      </c>
    </row>
    <row r="73" customFormat="false" ht="15" hidden="false" customHeight="false" outlineLevel="0" collapsed="false">
      <c r="A73" s="10" t="str">
        <f aca="false">IF(客户档案!B73="","",客户档案!B73)</f>
        <v/>
      </c>
      <c r="B73" s="14"/>
      <c r="C73" s="11" t="str">
        <f aca="false">IF(A73="","",SUMIF(送货回执登记!$C$2:$C$500,A73,送货回执登记!$D$2:$D$500))</f>
        <v/>
      </c>
      <c r="D73" s="11" t="str">
        <f aca="false">IF(A73="","",SUMIF(收款记录!$B$2:$B$500,A73,收款记录!$C$2:$C$500))</f>
        <v/>
      </c>
      <c r="E73" s="11" t="str">
        <f aca="false">IF(A73="","",N(B73)+C73-D73)</f>
        <v/>
      </c>
      <c r="F73" s="11" t="str">
        <f aca="false">IF(A73="","",IFERROR(INDEX(客户档案!$K$2:$K$300,MATCH(A73,客户档案!$B$2:$B$300,0)),""))</f>
        <v/>
      </c>
      <c r="G73" s="10" t="str">
        <f aca="false">IF(A73="","",IF(ISNUMBER(F73),IF(AND(F73&gt;0,E73&gt;F73),"超额!先收款再供货",""),""))</f>
        <v/>
      </c>
    </row>
    <row r="74" customFormat="false" ht="15" hidden="false" customHeight="false" outlineLevel="0" collapsed="false">
      <c r="A74" s="10" t="str">
        <f aca="false">IF(客户档案!B74="","",客户档案!B74)</f>
        <v/>
      </c>
      <c r="B74" s="14"/>
      <c r="C74" s="11" t="str">
        <f aca="false">IF(A74="","",SUMIF(送货回执登记!$C$2:$C$500,A74,送货回执登记!$D$2:$D$500))</f>
        <v/>
      </c>
      <c r="D74" s="11" t="str">
        <f aca="false">IF(A74="","",SUMIF(收款记录!$B$2:$B$500,A74,收款记录!$C$2:$C$500))</f>
        <v/>
      </c>
      <c r="E74" s="11" t="str">
        <f aca="false">IF(A74="","",N(B74)+C74-D74)</f>
        <v/>
      </c>
      <c r="F74" s="11" t="str">
        <f aca="false">IF(A74="","",IFERROR(INDEX(客户档案!$K$2:$K$300,MATCH(A74,客户档案!$B$2:$B$300,0)),""))</f>
        <v/>
      </c>
      <c r="G74" s="10" t="str">
        <f aca="false">IF(A74="","",IF(ISNUMBER(F74),IF(AND(F74&gt;0,E74&gt;F74),"超额!先收款再供货",""),""))</f>
        <v/>
      </c>
    </row>
    <row r="75" customFormat="false" ht="15" hidden="false" customHeight="false" outlineLevel="0" collapsed="false">
      <c r="A75" s="10" t="str">
        <f aca="false">IF(客户档案!B75="","",客户档案!B75)</f>
        <v/>
      </c>
      <c r="B75" s="14"/>
      <c r="C75" s="11" t="str">
        <f aca="false">IF(A75="","",SUMIF(送货回执登记!$C$2:$C$500,A75,送货回执登记!$D$2:$D$500))</f>
        <v/>
      </c>
      <c r="D75" s="11" t="str">
        <f aca="false">IF(A75="","",SUMIF(收款记录!$B$2:$B$500,A75,收款记录!$C$2:$C$500))</f>
        <v/>
      </c>
      <c r="E75" s="11" t="str">
        <f aca="false">IF(A75="","",N(B75)+C75-D75)</f>
        <v/>
      </c>
      <c r="F75" s="11" t="str">
        <f aca="false">IF(A75="","",IFERROR(INDEX(客户档案!$K$2:$K$300,MATCH(A75,客户档案!$B$2:$B$300,0)),""))</f>
        <v/>
      </c>
      <c r="G75" s="10" t="str">
        <f aca="false">IF(A75="","",IF(ISNUMBER(F75),IF(AND(F75&gt;0,E75&gt;F75),"超额!先收款再供货",""),""))</f>
        <v/>
      </c>
    </row>
    <row r="76" customFormat="false" ht="15" hidden="false" customHeight="false" outlineLevel="0" collapsed="false">
      <c r="A76" s="10" t="str">
        <f aca="false">IF(客户档案!B76="","",客户档案!B76)</f>
        <v/>
      </c>
      <c r="B76" s="14"/>
      <c r="C76" s="11" t="str">
        <f aca="false">IF(A76="","",SUMIF(送货回执登记!$C$2:$C$500,A76,送货回执登记!$D$2:$D$500))</f>
        <v/>
      </c>
      <c r="D76" s="11" t="str">
        <f aca="false">IF(A76="","",SUMIF(收款记录!$B$2:$B$500,A76,收款记录!$C$2:$C$500))</f>
        <v/>
      </c>
      <c r="E76" s="11" t="str">
        <f aca="false">IF(A76="","",N(B76)+C76-D76)</f>
        <v/>
      </c>
      <c r="F76" s="11" t="str">
        <f aca="false">IF(A76="","",IFERROR(INDEX(客户档案!$K$2:$K$300,MATCH(A76,客户档案!$B$2:$B$300,0)),""))</f>
        <v/>
      </c>
      <c r="G76" s="10" t="str">
        <f aca="false">IF(A76="","",IF(ISNUMBER(F76),IF(AND(F76&gt;0,E76&gt;F76),"超额!先收款再供货",""),""))</f>
        <v/>
      </c>
    </row>
    <row r="77" customFormat="false" ht="15" hidden="false" customHeight="false" outlineLevel="0" collapsed="false">
      <c r="A77" s="10" t="str">
        <f aca="false">IF(客户档案!B77="","",客户档案!B77)</f>
        <v/>
      </c>
      <c r="B77" s="14"/>
      <c r="C77" s="11" t="str">
        <f aca="false">IF(A77="","",SUMIF(送货回执登记!$C$2:$C$500,A77,送货回执登记!$D$2:$D$500))</f>
        <v/>
      </c>
      <c r="D77" s="11" t="str">
        <f aca="false">IF(A77="","",SUMIF(收款记录!$B$2:$B$500,A77,收款记录!$C$2:$C$500))</f>
        <v/>
      </c>
      <c r="E77" s="11" t="str">
        <f aca="false">IF(A77="","",N(B77)+C77-D77)</f>
        <v/>
      </c>
      <c r="F77" s="11" t="str">
        <f aca="false">IF(A77="","",IFERROR(INDEX(客户档案!$K$2:$K$300,MATCH(A77,客户档案!$B$2:$B$300,0)),""))</f>
        <v/>
      </c>
      <c r="G77" s="10" t="str">
        <f aca="false">IF(A77="","",IF(ISNUMBER(F77),IF(AND(F77&gt;0,E77&gt;F77),"超额!先收款再供货",""),""))</f>
        <v/>
      </c>
    </row>
    <row r="78" customFormat="false" ht="15" hidden="false" customHeight="false" outlineLevel="0" collapsed="false">
      <c r="A78" s="10" t="str">
        <f aca="false">IF(客户档案!B78="","",客户档案!B78)</f>
        <v/>
      </c>
      <c r="B78" s="14"/>
      <c r="C78" s="11" t="str">
        <f aca="false">IF(A78="","",SUMIF(送货回执登记!$C$2:$C$500,A78,送货回执登记!$D$2:$D$500))</f>
        <v/>
      </c>
      <c r="D78" s="11" t="str">
        <f aca="false">IF(A78="","",SUMIF(收款记录!$B$2:$B$500,A78,收款记录!$C$2:$C$500))</f>
        <v/>
      </c>
      <c r="E78" s="11" t="str">
        <f aca="false">IF(A78="","",N(B78)+C78-D78)</f>
        <v/>
      </c>
      <c r="F78" s="11" t="str">
        <f aca="false">IF(A78="","",IFERROR(INDEX(客户档案!$K$2:$K$300,MATCH(A78,客户档案!$B$2:$B$300,0)),""))</f>
        <v/>
      </c>
      <c r="G78" s="10" t="str">
        <f aca="false">IF(A78="","",IF(ISNUMBER(F78),IF(AND(F78&gt;0,E78&gt;F78),"超额!先收款再供货",""),""))</f>
        <v/>
      </c>
    </row>
    <row r="79" customFormat="false" ht="15" hidden="false" customHeight="false" outlineLevel="0" collapsed="false">
      <c r="A79" s="10" t="str">
        <f aca="false">IF(客户档案!B79="","",客户档案!B79)</f>
        <v/>
      </c>
      <c r="B79" s="14"/>
      <c r="C79" s="11" t="str">
        <f aca="false">IF(A79="","",SUMIF(送货回执登记!$C$2:$C$500,A79,送货回执登记!$D$2:$D$500))</f>
        <v/>
      </c>
      <c r="D79" s="11" t="str">
        <f aca="false">IF(A79="","",SUMIF(收款记录!$B$2:$B$500,A79,收款记录!$C$2:$C$500))</f>
        <v/>
      </c>
      <c r="E79" s="11" t="str">
        <f aca="false">IF(A79="","",N(B79)+C79-D79)</f>
        <v/>
      </c>
      <c r="F79" s="11" t="str">
        <f aca="false">IF(A79="","",IFERROR(INDEX(客户档案!$K$2:$K$300,MATCH(A79,客户档案!$B$2:$B$300,0)),""))</f>
        <v/>
      </c>
      <c r="G79" s="10" t="str">
        <f aca="false">IF(A79="","",IF(ISNUMBER(F79),IF(AND(F79&gt;0,E79&gt;F79),"超额!先收款再供货",""),""))</f>
        <v/>
      </c>
    </row>
    <row r="80" customFormat="false" ht="15" hidden="false" customHeight="false" outlineLevel="0" collapsed="false">
      <c r="A80" s="10" t="str">
        <f aca="false">IF(客户档案!B80="","",客户档案!B80)</f>
        <v/>
      </c>
      <c r="B80" s="14"/>
      <c r="C80" s="11" t="str">
        <f aca="false">IF(A80="","",SUMIF(送货回执登记!$C$2:$C$500,A80,送货回执登记!$D$2:$D$500))</f>
        <v/>
      </c>
      <c r="D80" s="11" t="str">
        <f aca="false">IF(A80="","",SUMIF(收款记录!$B$2:$B$500,A80,收款记录!$C$2:$C$500))</f>
        <v/>
      </c>
      <c r="E80" s="11" t="str">
        <f aca="false">IF(A80="","",N(B80)+C80-D80)</f>
        <v/>
      </c>
      <c r="F80" s="11" t="str">
        <f aca="false">IF(A80="","",IFERROR(INDEX(客户档案!$K$2:$K$300,MATCH(A80,客户档案!$B$2:$B$300,0)),""))</f>
        <v/>
      </c>
      <c r="G80" s="10" t="str">
        <f aca="false">IF(A80="","",IF(ISNUMBER(F80),IF(AND(F80&gt;0,E80&gt;F80),"超额!先收款再供货",""),""))</f>
        <v/>
      </c>
    </row>
    <row r="81" customFormat="false" ht="15" hidden="false" customHeight="false" outlineLevel="0" collapsed="false">
      <c r="A81" s="10" t="str">
        <f aca="false">IF(客户档案!B81="","",客户档案!B81)</f>
        <v/>
      </c>
      <c r="B81" s="14"/>
      <c r="C81" s="11" t="str">
        <f aca="false">IF(A81="","",SUMIF(送货回执登记!$C$2:$C$500,A81,送货回执登记!$D$2:$D$500))</f>
        <v/>
      </c>
      <c r="D81" s="11" t="str">
        <f aca="false">IF(A81="","",SUMIF(收款记录!$B$2:$B$500,A81,收款记录!$C$2:$C$500))</f>
        <v/>
      </c>
      <c r="E81" s="11" t="str">
        <f aca="false">IF(A81="","",N(B81)+C81-D81)</f>
        <v/>
      </c>
      <c r="F81" s="11" t="str">
        <f aca="false">IF(A81="","",IFERROR(INDEX(客户档案!$K$2:$K$300,MATCH(A81,客户档案!$B$2:$B$300,0)),""))</f>
        <v/>
      </c>
      <c r="G81" s="10" t="str">
        <f aca="false">IF(A81="","",IF(ISNUMBER(F81),IF(AND(F81&gt;0,E81&gt;F81),"超额!先收款再供货",""),""))</f>
        <v/>
      </c>
    </row>
    <row r="82" customFormat="false" ht="15" hidden="false" customHeight="false" outlineLevel="0" collapsed="false">
      <c r="A82" s="10" t="str">
        <f aca="false">IF(客户档案!B82="","",客户档案!B82)</f>
        <v/>
      </c>
      <c r="B82" s="14"/>
      <c r="C82" s="11" t="str">
        <f aca="false">IF(A82="","",SUMIF(送货回执登记!$C$2:$C$500,A82,送货回执登记!$D$2:$D$500))</f>
        <v/>
      </c>
      <c r="D82" s="11" t="str">
        <f aca="false">IF(A82="","",SUMIF(收款记录!$B$2:$B$500,A82,收款记录!$C$2:$C$500))</f>
        <v/>
      </c>
      <c r="E82" s="11" t="str">
        <f aca="false">IF(A82="","",N(B82)+C82-D82)</f>
        <v/>
      </c>
      <c r="F82" s="11" t="str">
        <f aca="false">IF(A82="","",IFERROR(INDEX(客户档案!$K$2:$K$300,MATCH(A82,客户档案!$B$2:$B$300,0)),""))</f>
        <v/>
      </c>
      <c r="G82" s="10" t="str">
        <f aca="false">IF(A82="","",IF(ISNUMBER(F82),IF(AND(F82&gt;0,E82&gt;F82),"超额!先收款再供货",""),""))</f>
        <v/>
      </c>
    </row>
    <row r="83" customFormat="false" ht="15" hidden="false" customHeight="false" outlineLevel="0" collapsed="false">
      <c r="A83" s="10" t="str">
        <f aca="false">IF(客户档案!B83="","",客户档案!B83)</f>
        <v/>
      </c>
      <c r="B83" s="14"/>
      <c r="C83" s="11" t="str">
        <f aca="false">IF(A83="","",SUMIF(送货回执登记!$C$2:$C$500,A83,送货回执登记!$D$2:$D$500))</f>
        <v/>
      </c>
      <c r="D83" s="11" t="str">
        <f aca="false">IF(A83="","",SUMIF(收款记录!$B$2:$B$500,A83,收款记录!$C$2:$C$500))</f>
        <v/>
      </c>
      <c r="E83" s="11" t="str">
        <f aca="false">IF(A83="","",N(B83)+C83-D83)</f>
        <v/>
      </c>
      <c r="F83" s="11" t="str">
        <f aca="false">IF(A83="","",IFERROR(INDEX(客户档案!$K$2:$K$300,MATCH(A83,客户档案!$B$2:$B$300,0)),""))</f>
        <v/>
      </c>
      <c r="G83" s="10" t="str">
        <f aca="false">IF(A83="","",IF(ISNUMBER(F83),IF(AND(F83&gt;0,E83&gt;F83),"超额!先收款再供货",""),""))</f>
        <v/>
      </c>
    </row>
    <row r="84" customFormat="false" ht="15" hidden="false" customHeight="false" outlineLevel="0" collapsed="false">
      <c r="A84" s="10" t="str">
        <f aca="false">IF(客户档案!B84="","",客户档案!B84)</f>
        <v/>
      </c>
      <c r="B84" s="14"/>
      <c r="C84" s="11" t="str">
        <f aca="false">IF(A84="","",SUMIF(送货回执登记!$C$2:$C$500,A84,送货回执登记!$D$2:$D$500))</f>
        <v/>
      </c>
      <c r="D84" s="11" t="str">
        <f aca="false">IF(A84="","",SUMIF(收款记录!$B$2:$B$500,A84,收款记录!$C$2:$C$500))</f>
        <v/>
      </c>
      <c r="E84" s="11" t="str">
        <f aca="false">IF(A84="","",N(B84)+C84-D84)</f>
        <v/>
      </c>
      <c r="F84" s="11" t="str">
        <f aca="false">IF(A84="","",IFERROR(INDEX(客户档案!$K$2:$K$300,MATCH(A84,客户档案!$B$2:$B$300,0)),""))</f>
        <v/>
      </c>
      <c r="G84" s="10" t="str">
        <f aca="false">IF(A84="","",IF(ISNUMBER(F84),IF(AND(F84&gt;0,E84&gt;F84),"超额!先收款再供货",""),""))</f>
        <v/>
      </c>
    </row>
    <row r="85" customFormat="false" ht="15" hidden="false" customHeight="false" outlineLevel="0" collapsed="false">
      <c r="A85" s="10" t="str">
        <f aca="false">IF(客户档案!B85="","",客户档案!B85)</f>
        <v/>
      </c>
      <c r="B85" s="14"/>
      <c r="C85" s="11" t="str">
        <f aca="false">IF(A85="","",SUMIF(送货回执登记!$C$2:$C$500,A85,送货回执登记!$D$2:$D$500))</f>
        <v/>
      </c>
      <c r="D85" s="11" t="str">
        <f aca="false">IF(A85="","",SUMIF(收款记录!$B$2:$B$500,A85,收款记录!$C$2:$C$500))</f>
        <v/>
      </c>
      <c r="E85" s="11" t="str">
        <f aca="false">IF(A85="","",N(B85)+C85-D85)</f>
        <v/>
      </c>
      <c r="F85" s="11" t="str">
        <f aca="false">IF(A85="","",IFERROR(INDEX(客户档案!$K$2:$K$300,MATCH(A85,客户档案!$B$2:$B$300,0)),""))</f>
        <v/>
      </c>
      <c r="G85" s="10" t="str">
        <f aca="false">IF(A85="","",IF(ISNUMBER(F85),IF(AND(F85&gt;0,E85&gt;F85),"超额!先收款再供货",""),""))</f>
        <v/>
      </c>
    </row>
    <row r="86" customFormat="false" ht="15" hidden="false" customHeight="false" outlineLevel="0" collapsed="false">
      <c r="A86" s="10" t="str">
        <f aca="false">IF(客户档案!B86="","",客户档案!B86)</f>
        <v/>
      </c>
      <c r="B86" s="14"/>
      <c r="C86" s="11" t="str">
        <f aca="false">IF(A86="","",SUMIF(送货回执登记!$C$2:$C$500,A86,送货回执登记!$D$2:$D$500))</f>
        <v/>
      </c>
      <c r="D86" s="11" t="str">
        <f aca="false">IF(A86="","",SUMIF(收款记录!$B$2:$B$500,A86,收款记录!$C$2:$C$500))</f>
        <v/>
      </c>
      <c r="E86" s="11" t="str">
        <f aca="false">IF(A86="","",N(B86)+C86-D86)</f>
        <v/>
      </c>
      <c r="F86" s="11" t="str">
        <f aca="false">IF(A86="","",IFERROR(INDEX(客户档案!$K$2:$K$300,MATCH(A86,客户档案!$B$2:$B$300,0)),""))</f>
        <v/>
      </c>
      <c r="G86" s="10" t="str">
        <f aca="false">IF(A86="","",IF(ISNUMBER(F86),IF(AND(F86&gt;0,E86&gt;F86),"超额!先收款再供货",""),""))</f>
        <v/>
      </c>
    </row>
    <row r="87" customFormat="false" ht="15" hidden="false" customHeight="false" outlineLevel="0" collapsed="false">
      <c r="A87" s="10" t="str">
        <f aca="false">IF(客户档案!B87="","",客户档案!B87)</f>
        <v/>
      </c>
      <c r="B87" s="14"/>
      <c r="C87" s="11" t="str">
        <f aca="false">IF(A87="","",SUMIF(送货回执登记!$C$2:$C$500,A87,送货回执登记!$D$2:$D$500))</f>
        <v/>
      </c>
      <c r="D87" s="11" t="str">
        <f aca="false">IF(A87="","",SUMIF(收款记录!$B$2:$B$500,A87,收款记录!$C$2:$C$500))</f>
        <v/>
      </c>
      <c r="E87" s="11" t="str">
        <f aca="false">IF(A87="","",N(B87)+C87-D87)</f>
        <v/>
      </c>
      <c r="F87" s="11" t="str">
        <f aca="false">IF(A87="","",IFERROR(INDEX(客户档案!$K$2:$K$300,MATCH(A87,客户档案!$B$2:$B$300,0)),""))</f>
        <v/>
      </c>
      <c r="G87" s="10" t="str">
        <f aca="false">IF(A87="","",IF(ISNUMBER(F87),IF(AND(F87&gt;0,E87&gt;F87),"超额!先收款再供货",""),""))</f>
        <v/>
      </c>
    </row>
    <row r="88" customFormat="false" ht="15" hidden="false" customHeight="false" outlineLevel="0" collapsed="false">
      <c r="A88" s="10" t="str">
        <f aca="false">IF(客户档案!B88="","",客户档案!B88)</f>
        <v/>
      </c>
      <c r="B88" s="14"/>
      <c r="C88" s="11" t="str">
        <f aca="false">IF(A88="","",SUMIF(送货回执登记!$C$2:$C$500,A88,送货回执登记!$D$2:$D$500))</f>
        <v/>
      </c>
      <c r="D88" s="11" t="str">
        <f aca="false">IF(A88="","",SUMIF(收款记录!$B$2:$B$500,A88,收款记录!$C$2:$C$500))</f>
        <v/>
      </c>
      <c r="E88" s="11" t="str">
        <f aca="false">IF(A88="","",N(B88)+C88-D88)</f>
        <v/>
      </c>
      <c r="F88" s="11" t="str">
        <f aca="false">IF(A88="","",IFERROR(INDEX(客户档案!$K$2:$K$300,MATCH(A88,客户档案!$B$2:$B$300,0)),""))</f>
        <v/>
      </c>
      <c r="G88" s="10" t="str">
        <f aca="false">IF(A88="","",IF(ISNUMBER(F88),IF(AND(F88&gt;0,E88&gt;F88),"超额!先收款再供货",""),""))</f>
        <v/>
      </c>
    </row>
    <row r="89" customFormat="false" ht="15" hidden="false" customHeight="false" outlineLevel="0" collapsed="false">
      <c r="A89" s="10" t="str">
        <f aca="false">IF(客户档案!B89="","",客户档案!B89)</f>
        <v/>
      </c>
      <c r="B89" s="14"/>
      <c r="C89" s="11" t="str">
        <f aca="false">IF(A89="","",SUMIF(送货回执登记!$C$2:$C$500,A89,送货回执登记!$D$2:$D$500))</f>
        <v/>
      </c>
      <c r="D89" s="11" t="str">
        <f aca="false">IF(A89="","",SUMIF(收款记录!$B$2:$B$500,A89,收款记录!$C$2:$C$500))</f>
        <v/>
      </c>
      <c r="E89" s="11" t="str">
        <f aca="false">IF(A89="","",N(B89)+C89-D89)</f>
        <v/>
      </c>
      <c r="F89" s="11" t="str">
        <f aca="false">IF(A89="","",IFERROR(INDEX(客户档案!$K$2:$K$300,MATCH(A89,客户档案!$B$2:$B$300,0)),""))</f>
        <v/>
      </c>
      <c r="G89" s="10" t="str">
        <f aca="false">IF(A89="","",IF(ISNUMBER(F89),IF(AND(F89&gt;0,E89&gt;F89),"超额!先收款再供货",""),""))</f>
        <v/>
      </c>
    </row>
    <row r="90" customFormat="false" ht="15" hidden="false" customHeight="false" outlineLevel="0" collapsed="false">
      <c r="A90" s="10" t="str">
        <f aca="false">IF(客户档案!B90="","",客户档案!B90)</f>
        <v/>
      </c>
      <c r="B90" s="14"/>
      <c r="C90" s="11" t="str">
        <f aca="false">IF(A90="","",SUMIF(送货回执登记!$C$2:$C$500,A90,送货回执登记!$D$2:$D$500))</f>
        <v/>
      </c>
      <c r="D90" s="11" t="str">
        <f aca="false">IF(A90="","",SUMIF(收款记录!$B$2:$B$500,A90,收款记录!$C$2:$C$500))</f>
        <v/>
      </c>
      <c r="E90" s="11" t="str">
        <f aca="false">IF(A90="","",N(B90)+C90-D90)</f>
        <v/>
      </c>
      <c r="F90" s="11" t="str">
        <f aca="false">IF(A90="","",IFERROR(INDEX(客户档案!$K$2:$K$300,MATCH(A90,客户档案!$B$2:$B$300,0)),""))</f>
        <v/>
      </c>
      <c r="G90" s="10" t="str">
        <f aca="false">IF(A90="","",IF(ISNUMBER(F90),IF(AND(F90&gt;0,E90&gt;F90),"超额!先收款再供货",""),""))</f>
        <v/>
      </c>
    </row>
    <row r="91" customFormat="false" ht="15" hidden="false" customHeight="false" outlineLevel="0" collapsed="false">
      <c r="A91" s="10" t="str">
        <f aca="false">IF(客户档案!B91="","",客户档案!B91)</f>
        <v/>
      </c>
      <c r="B91" s="14"/>
      <c r="C91" s="11" t="str">
        <f aca="false">IF(A91="","",SUMIF(送货回执登记!$C$2:$C$500,A91,送货回执登记!$D$2:$D$500))</f>
        <v/>
      </c>
      <c r="D91" s="11" t="str">
        <f aca="false">IF(A91="","",SUMIF(收款记录!$B$2:$B$500,A91,收款记录!$C$2:$C$500))</f>
        <v/>
      </c>
      <c r="E91" s="11" t="str">
        <f aca="false">IF(A91="","",N(B91)+C91-D91)</f>
        <v/>
      </c>
      <c r="F91" s="11" t="str">
        <f aca="false">IF(A91="","",IFERROR(INDEX(客户档案!$K$2:$K$300,MATCH(A91,客户档案!$B$2:$B$300,0)),""))</f>
        <v/>
      </c>
      <c r="G91" s="10" t="str">
        <f aca="false">IF(A91="","",IF(ISNUMBER(F91),IF(AND(F91&gt;0,E91&gt;F91),"超额!先收款再供货",""),""))</f>
        <v/>
      </c>
    </row>
    <row r="92" customFormat="false" ht="15" hidden="false" customHeight="false" outlineLevel="0" collapsed="false">
      <c r="A92" s="10" t="str">
        <f aca="false">IF(客户档案!B92="","",客户档案!B92)</f>
        <v/>
      </c>
      <c r="B92" s="14"/>
      <c r="C92" s="11" t="str">
        <f aca="false">IF(A92="","",SUMIF(送货回执登记!$C$2:$C$500,A92,送货回执登记!$D$2:$D$500))</f>
        <v/>
      </c>
      <c r="D92" s="11" t="str">
        <f aca="false">IF(A92="","",SUMIF(收款记录!$B$2:$B$500,A92,收款记录!$C$2:$C$500))</f>
        <v/>
      </c>
      <c r="E92" s="11" t="str">
        <f aca="false">IF(A92="","",N(B92)+C92-D92)</f>
        <v/>
      </c>
      <c r="F92" s="11" t="str">
        <f aca="false">IF(A92="","",IFERROR(INDEX(客户档案!$K$2:$K$300,MATCH(A92,客户档案!$B$2:$B$300,0)),""))</f>
        <v/>
      </c>
      <c r="G92" s="10" t="str">
        <f aca="false">IF(A92="","",IF(ISNUMBER(F92),IF(AND(F92&gt;0,E92&gt;F92),"超额!先收款再供货",""),""))</f>
        <v/>
      </c>
    </row>
    <row r="93" customFormat="false" ht="15" hidden="false" customHeight="false" outlineLevel="0" collapsed="false">
      <c r="A93" s="10" t="str">
        <f aca="false">IF(客户档案!B93="","",客户档案!B93)</f>
        <v/>
      </c>
      <c r="B93" s="14"/>
      <c r="C93" s="11" t="str">
        <f aca="false">IF(A93="","",SUMIF(送货回执登记!$C$2:$C$500,A93,送货回执登记!$D$2:$D$500))</f>
        <v/>
      </c>
      <c r="D93" s="11" t="str">
        <f aca="false">IF(A93="","",SUMIF(收款记录!$B$2:$B$500,A93,收款记录!$C$2:$C$500))</f>
        <v/>
      </c>
      <c r="E93" s="11" t="str">
        <f aca="false">IF(A93="","",N(B93)+C93-D93)</f>
        <v/>
      </c>
      <c r="F93" s="11" t="str">
        <f aca="false">IF(A93="","",IFERROR(INDEX(客户档案!$K$2:$K$300,MATCH(A93,客户档案!$B$2:$B$300,0)),""))</f>
        <v/>
      </c>
      <c r="G93" s="10" t="str">
        <f aca="false">IF(A93="","",IF(ISNUMBER(F93),IF(AND(F93&gt;0,E93&gt;F93),"超额!先收款再供货",""),""))</f>
        <v/>
      </c>
    </row>
    <row r="94" customFormat="false" ht="15" hidden="false" customHeight="false" outlineLevel="0" collapsed="false">
      <c r="A94" s="10" t="str">
        <f aca="false">IF(客户档案!B94="","",客户档案!B94)</f>
        <v/>
      </c>
      <c r="B94" s="14"/>
      <c r="C94" s="11" t="str">
        <f aca="false">IF(A94="","",SUMIF(送货回执登记!$C$2:$C$500,A94,送货回执登记!$D$2:$D$500))</f>
        <v/>
      </c>
      <c r="D94" s="11" t="str">
        <f aca="false">IF(A94="","",SUMIF(收款记录!$B$2:$B$500,A94,收款记录!$C$2:$C$500))</f>
        <v/>
      </c>
      <c r="E94" s="11" t="str">
        <f aca="false">IF(A94="","",N(B94)+C94-D94)</f>
        <v/>
      </c>
      <c r="F94" s="11" t="str">
        <f aca="false">IF(A94="","",IFERROR(INDEX(客户档案!$K$2:$K$300,MATCH(A94,客户档案!$B$2:$B$300,0)),""))</f>
        <v/>
      </c>
      <c r="G94" s="10" t="str">
        <f aca="false">IF(A94="","",IF(ISNUMBER(F94),IF(AND(F94&gt;0,E94&gt;F94),"超额!先收款再供货",""),""))</f>
        <v/>
      </c>
    </row>
    <row r="95" customFormat="false" ht="15" hidden="false" customHeight="false" outlineLevel="0" collapsed="false">
      <c r="A95" s="10" t="str">
        <f aca="false">IF(客户档案!B95="","",客户档案!B95)</f>
        <v/>
      </c>
      <c r="B95" s="14"/>
      <c r="C95" s="11" t="str">
        <f aca="false">IF(A95="","",SUMIF(送货回执登记!$C$2:$C$500,A95,送货回执登记!$D$2:$D$500))</f>
        <v/>
      </c>
      <c r="D95" s="11" t="str">
        <f aca="false">IF(A95="","",SUMIF(收款记录!$B$2:$B$500,A95,收款记录!$C$2:$C$500))</f>
        <v/>
      </c>
      <c r="E95" s="11" t="str">
        <f aca="false">IF(A95="","",N(B95)+C95-D95)</f>
        <v/>
      </c>
      <c r="F95" s="11" t="str">
        <f aca="false">IF(A95="","",IFERROR(INDEX(客户档案!$K$2:$K$300,MATCH(A95,客户档案!$B$2:$B$300,0)),""))</f>
        <v/>
      </c>
      <c r="G95" s="10" t="str">
        <f aca="false">IF(A95="","",IF(ISNUMBER(F95),IF(AND(F95&gt;0,E95&gt;F95),"超额!先收款再供货",""),""))</f>
        <v/>
      </c>
    </row>
    <row r="96" customFormat="false" ht="15" hidden="false" customHeight="false" outlineLevel="0" collapsed="false">
      <c r="A96" s="10" t="str">
        <f aca="false">IF(客户档案!B96="","",客户档案!B96)</f>
        <v/>
      </c>
      <c r="B96" s="14"/>
      <c r="C96" s="11" t="str">
        <f aca="false">IF(A96="","",SUMIF(送货回执登记!$C$2:$C$500,A96,送货回执登记!$D$2:$D$500))</f>
        <v/>
      </c>
      <c r="D96" s="11" t="str">
        <f aca="false">IF(A96="","",SUMIF(收款记录!$B$2:$B$500,A96,收款记录!$C$2:$C$500))</f>
        <v/>
      </c>
      <c r="E96" s="11" t="str">
        <f aca="false">IF(A96="","",N(B96)+C96-D96)</f>
        <v/>
      </c>
      <c r="F96" s="11" t="str">
        <f aca="false">IF(A96="","",IFERROR(INDEX(客户档案!$K$2:$K$300,MATCH(A96,客户档案!$B$2:$B$300,0)),""))</f>
        <v/>
      </c>
      <c r="G96" s="10" t="str">
        <f aca="false">IF(A96="","",IF(ISNUMBER(F96),IF(AND(F96&gt;0,E96&gt;F96),"超额!先收款再供货",""),""))</f>
        <v/>
      </c>
    </row>
    <row r="97" customFormat="false" ht="15" hidden="false" customHeight="false" outlineLevel="0" collapsed="false">
      <c r="A97" s="10" t="str">
        <f aca="false">IF(客户档案!B97="","",客户档案!B97)</f>
        <v/>
      </c>
      <c r="B97" s="14"/>
      <c r="C97" s="11" t="str">
        <f aca="false">IF(A97="","",SUMIF(送货回执登记!$C$2:$C$500,A97,送货回执登记!$D$2:$D$500))</f>
        <v/>
      </c>
      <c r="D97" s="11" t="str">
        <f aca="false">IF(A97="","",SUMIF(收款记录!$B$2:$B$500,A97,收款记录!$C$2:$C$500))</f>
        <v/>
      </c>
      <c r="E97" s="11" t="str">
        <f aca="false">IF(A97="","",N(B97)+C97-D97)</f>
        <v/>
      </c>
      <c r="F97" s="11" t="str">
        <f aca="false">IF(A97="","",IFERROR(INDEX(客户档案!$K$2:$K$300,MATCH(A97,客户档案!$B$2:$B$300,0)),""))</f>
        <v/>
      </c>
      <c r="G97" s="10" t="str">
        <f aca="false">IF(A97="","",IF(ISNUMBER(F97),IF(AND(F97&gt;0,E97&gt;F97),"超额!先收款再供货",""),""))</f>
        <v/>
      </c>
    </row>
    <row r="98" customFormat="false" ht="15" hidden="false" customHeight="false" outlineLevel="0" collapsed="false">
      <c r="A98" s="10" t="str">
        <f aca="false">IF(客户档案!B98="","",客户档案!B98)</f>
        <v/>
      </c>
      <c r="B98" s="14"/>
      <c r="C98" s="11" t="str">
        <f aca="false">IF(A98="","",SUMIF(送货回执登记!$C$2:$C$500,A98,送货回执登记!$D$2:$D$500))</f>
        <v/>
      </c>
      <c r="D98" s="11" t="str">
        <f aca="false">IF(A98="","",SUMIF(收款记录!$B$2:$B$500,A98,收款记录!$C$2:$C$500))</f>
        <v/>
      </c>
      <c r="E98" s="11" t="str">
        <f aca="false">IF(A98="","",N(B98)+C98-D98)</f>
        <v/>
      </c>
      <c r="F98" s="11" t="str">
        <f aca="false">IF(A98="","",IFERROR(INDEX(客户档案!$K$2:$K$300,MATCH(A98,客户档案!$B$2:$B$300,0)),""))</f>
        <v/>
      </c>
      <c r="G98" s="10" t="str">
        <f aca="false">IF(A98="","",IF(ISNUMBER(F98),IF(AND(F98&gt;0,E98&gt;F98),"超额!先收款再供货",""),""))</f>
        <v/>
      </c>
    </row>
    <row r="99" customFormat="false" ht="15" hidden="false" customHeight="false" outlineLevel="0" collapsed="false">
      <c r="A99" s="10" t="str">
        <f aca="false">IF(客户档案!B99="","",客户档案!B99)</f>
        <v/>
      </c>
      <c r="B99" s="14"/>
      <c r="C99" s="11" t="str">
        <f aca="false">IF(A99="","",SUMIF(送货回执登记!$C$2:$C$500,A99,送货回执登记!$D$2:$D$500))</f>
        <v/>
      </c>
      <c r="D99" s="11" t="str">
        <f aca="false">IF(A99="","",SUMIF(收款记录!$B$2:$B$500,A99,收款记录!$C$2:$C$500))</f>
        <v/>
      </c>
      <c r="E99" s="11" t="str">
        <f aca="false">IF(A99="","",N(B99)+C99-D99)</f>
        <v/>
      </c>
      <c r="F99" s="11" t="str">
        <f aca="false">IF(A99="","",IFERROR(INDEX(客户档案!$K$2:$K$300,MATCH(A99,客户档案!$B$2:$B$300,0)),""))</f>
        <v/>
      </c>
      <c r="G99" s="10" t="str">
        <f aca="false">IF(A99="","",IF(ISNUMBER(F99),IF(AND(F99&gt;0,E99&gt;F99),"超额!先收款再供货",""),""))</f>
        <v/>
      </c>
    </row>
    <row r="100" customFormat="false" ht="15" hidden="false" customHeight="false" outlineLevel="0" collapsed="false">
      <c r="A100" s="10" t="str">
        <f aca="false">IF(客户档案!B100="","",客户档案!B100)</f>
        <v/>
      </c>
      <c r="B100" s="14"/>
      <c r="C100" s="11" t="str">
        <f aca="false">IF(A100="","",SUMIF(送货回执登记!$C$2:$C$500,A100,送货回执登记!$D$2:$D$500))</f>
        <v/>
      </c>
      <c r="D100" s="11" t="str">
        <f aca="false">IF(A100="","",SUMIF(收款记录!$B$2:$B$500,A100,收款记录!$C$2:$C$500))</f>
        <v/>
      </c>
      <c r="E100" s="11" t="str">
        <f aca="false">IF(A100="","",N(B100)+C100-D100)</f>
        <v/>
      </c>
      <c r="F100" s="11" t="str">
        <f aca="false">IF(A100="","",IFERROR(INDEX(客户档案!$K$2:$K$300,MATCH(A100,客户档案!$B$2:$B$300,0)),""))</f>
        <v/>
      </c>
      <c r="G100" s="10" t="str">
        <f aca="false">IF(A100="","",IF(ISNUMBER(F100),IF(AND(F100&gt;0,E100&gt;F100),"超额!先收款再供货",""),""))</f>
        <v/>
      </c>
    </row>
    <row r="101" customFormat="false" ht="15" hidden="false" customHeight="false" outlineLevel="0" collapsed="false">
      <c r="A101" s="10" t="str">
        <f aca="false">IF(客户档案!B101="","",客户档案!B101)</f>
        <v/>
      </c>
      <c r="B101" s="14"/>
      <c r="C101" s="11" t="str">
        <f aca="false">IF(A101="","",SUMIF(送货回执登记!$C$2:$C$500,A101,送货回执登记!$D$2:$D$500))</f>
        <v/>
      </c>
      <c r="D101" s="11" t="str">
        <f aca="false">IF(A101="","",SUMIF(收款记录!$B$2:$B$500,A101,收款记录!$C$2:$C$500))</f>
        <v/>
      </c>
      <c r="E101" s="11" t="str">
        <f aca="false">IF(A101="","",N(B101)+C101-D101)</f>
        <v/>
      </c>
      <c r="F101" s="11" t="str">
        <f aca="false">IF(A101="","",IFERROR(INDEX(客户档案!$K$2:$K$300,MATCH(A101,客户档案!$B$2:$B$300,0)),""))</f>
        <v/>
      </c>
      <c r="G101" s="10" t="str">
        <f aca="false">IF(A101="","",IF(ISNUMBER(F101),IF(AND(F101&gt;0,E101&gt;F101),"超额!先收款再供货",""),""))</f>
        <v/>
      </c>
    </row>
    <row r="102" customFormat="false" ht="15" hidden="false" customHeight="false" outlineLevel="0" collapsed="false">
      <c r="A102" s="10" t="str">
        <f aca="false">IF(客户档案!B102="","",客户档案!B102)</f>
        <v/>
      </c>
      <c r="B102" s="14"/>
      <c r="C102" s="11" t="str">
        <f aca="false">IF(A102="","",SUMIF(送货回执登记!$C$2:$C$500,A102,送货回执登记!$D$2:$D$500))</f>
        <v/>
      </c>
      <c r="D102" s="11" t="str">
        <f aca="false">IF(A102="","",SUMIF(收款记录!$B$2:$B$500,A102,收款记录!$C$2:$C$500))</f>
        <v/>
      </c>
      <c r="E102" s="11" t="str">
        <f aca="false">IF(A102="","",N(B102)+C102-D102)</f>
        <v/>
      </c>
      <c r="F102" s="11" t="str">
        <f aca="false">IF(A102="","",IFERROR(INDEX(客户档案!$K$2:$K$300,MATCH(A102,客户档案!$B$2:$B$300,0)),""))</f>
        <v/>
      </c>
      <c r="G102" s="10" t="str">
        <f aca="false">IF(A102="","",IF(ISNUMBER(F102),IF(AND(F102&gt;0,E102&gt;F102),"超额!先收款再供货",""),""))</f>
        <v/>
      </c>
    </row>
    <row r="103" customFormat="false" ht="15" hidden="false" customHeight="false" outlineLevel="0" collapsed="false">
      <c r="A103" s="10" t="str">
        <f aca="false">IF(客户档案!B103="","",客户档案!B103)</f>
        <v/>
      </c>
      <c r="B103" s="14"/>
      <c r="C103" s="11" t="str">
        <f aca="false">IF(A103="","",SUMIF(送货回执登记!$C$2:$C$500,A103,送货回执登记!$D$2:$D$500))</f>
        <v/>
      </c>
      <c r="D103" s="11" t="str">
        <f aca="false">IF(A103="","",SUMIF(收款记录!$B$2:$B$500,A103,收款记录!$C$2:$C$500))</f>
        <v/>
      </c>
      <c r="E103" s="11" t="str">
        <f aca="false">IF(A103="","",N(B103)+C103-D103)</f>
        <v/>
      </c>
      <c r="F103" s="11" t="str">
        <f aca="false">IF(A103="","",IFERROR(INDEX(客户档案!$K$2:$K$300,MATCH(A103,客户档案!$B$2:$B$300,0)),""))</f>
        <v/>
      </c>
      <c r="G103" s="10" t="str">
        <f aca="false">IF(A103="","",IF(ISNUMBER(F103),IF(AND(F103&gt;0,E103&gt;F103),"超额!先收款再供货",""),""))</f>
        <v/>
      </c>
    </row>
    <row r="104" customFormat="false" ht="15" hidden="false" customHeight="false" outlineLevel="0" collapsed="false">
      <c r="A104" s="10" t="str">
        <f aca="false">IF(客户档案!B104="","",客户档案!B104)</f>
        <v/>
      </c>
      <c r="B104" s="14"/>
      <c r="C104" s="11" t="str">
        <f aca="false">IF(A104="","",SUMIF(送货回执登记!$C$2:$C$500,A104,送货回执登记!$D$2:$D$500))</f>
        <v/>
      </c>
      <c r="D104" s="11" t="str">
        <f aca="false">IF(A104="","",SUMIF(收款记录!$B$2:$B$500,A104,收款记录!$C$2:$C$500))</f>
        <v/>
      </c>
      <c r="E104" s="11" t="str">
        <f aca="false">IF(A104="","",N(B104)+C104-D104)</f>
        <v/>
      </c>
      <c r="F104" s="11" t="str">
        <f aca="false">IF(A104="","",IFERROR(INDEX(客户档案!$K$2:$K$300,MATCH(A104,客户档案!$B$2:$B$300,0)),""))</f>
        <v/>
      </c>
      <c r="G104" s="10" t="str">
        <f aca="false">IF(A104="","",IF(ISNUMBER(F104),IF(AND(F104&gt;0,E104&gt;F104),"超额!先收款再供货",""),""))</f>
        <v/>
      </c>
    </row>
    <row r="105" customFormat="false" ht="15" hidden="false" customHeight="false" outlineLevel="0" collapsed="false">
      <c r="A105" s="10" t="str">
        <f aca="false">IF(客户档案!B105="","",客户档案!B105)</f>
        <v/>
      </c>
      <c r="B105" s="14"/>
      <c r="C105" s="11" t="str">
        <f aca="false">IF(A105="","",SUMIF(送货回执登记!$C$2:$C$500,A105,送货回执登记!$D$2:$D$500))</f>
        <v/>
      </c>
      <c r="D105" s="11" t="str">
        <f aca="false">IF(A105="","",SUMIF(收款记录!$B$2:$B$500,A105,收款记录!$C$2:$C$500))</f>
        <v/>
      </c>
      <c r="E105" s="11" t="str">
        <f aca="false">IF(A105="","",N(B105)+C105-D105)</f>
        <v/>
      </c>
      <c r="F105" s="11" t="str">
        <f aca="false">IF(A105="","",IFERROR(INDEX(客户档案!$K$2:$K$300,MATCH(A105,客户档案!$B$2:$B$300,0)),""))</f>
        <v/>
      </c>
      <c r="G105" s="10" t="str">
        <f aca="false">IF(A105="","",IF(ISNUMBER(F105),IF(AND(F105&gt;0,E105&gt;F105),"超额!先收款再供货",""),""))</f>
        <v/>
      </c>
    </row>
    <row r="106" customFormat="false" ht="15" hidden="false" customHeight="false" outlineLevel="0" collapsed="false">
      <c r="A106" s="10" t="str">
        <f aca="false">IF(客户档案!B106="","",客户档案!B106)</f>
        <v/>
      </c>
      <c r="B106" s="14"/>
      <c r="C106" s="11" t="str">
        <f aca="false">IF(A106="","",SUMIF(送货回执登记!$C$2:$C$500,A106,送货回执登记!$D$2:$D$500))</f>
        <v/>
      </c>
      <c r="D106" s="11" t="str">
        <f aca="false">IF(A106="","",SUMIF(收款记录!$B$2:$B$500,A106,收款记录!$C$2:$C$500))</f>
        <v/>
      </c>
      <c r="E106" s="11" t="str">
        <f aca="false">IF(A106="","",N(B106)+C106-D106)</f>
        <v/>
      </c>
      <c r="F106" s="11" t="str">
        <f aca="false">IF(A106="","",IFERROR(INDEX(客户档案!$K$2:$K$300,MATCH(A106,客户档案!$B$2:$B$300,0)),""))</f>
        <v/>
      </c>
      <c r="G106" s="10" t="str">
        <f aca="false">IF(A106="","",IF(ISNUMBER(F106),IF(AND(F106&gt;0,E106&gt;F106),"超额!先收款再供货",""),""))</f>
        <v/>
      </c>
    </row>
    <row r="107" customFormat="false" ht="15" hidden="false" customHeight="false" outlineLevel="0" collapsed="false">
      <c r="A107" s="10" t="str">
        <f aca="false">IF(客户档案!B107="","",客户档案!B107)</f>
        <v/>
      </c>
      <c r="B107" s="14"/>
      <c r="C107" s="11" t="str">
        <f aca="false">IF(A107="","",SUMIF(送货回执登记!$C$2:$C$500,A107,送货回执登记!$D$2:$D$500))</f>
        <v/>
      </c>
      <c r="D107" s="11" t="str">
        <f aca="false">IF(A107="","",SUMIF(收款记录!$B$2:$B$500,A107,收款记录!$C$2:$C$500))</f>
        <v/>
      </c>
      <c r="E107" s="11" t="str">
        <f aca="false">IF(A107="","",N(B107)+C107-D107)</f>
        <v/>
      </c>
      <c r="F107" s="11" t="str">
        <f aca="false">IF(A107="","",IFERROR(INDEX(客户档案!$K$2:$K$300,MATCH(A107,客户档案!$B$2:$B$300,0)),""))</f>
        <v/>
      </c>
      <c r="G107" s="10" t="str">
        <f aca="false">IF(A107="","",IF(ISNUMBER(F107),IF(AND(F107&gt;0,E107&gt;F107),"超额!先收款再供货",""),""))</f>
        <v/>
      </c>
    </row>
    <row r="108" customFormat="false" ht="15" hidden="false" customHeight="false" outlineLevel="0" collapsed="false">
      <c r="A108" s="10" t="str">
        <f aca="false">IF(客户档案!B108="","",客户档案!B108)</f>
        <v/>
      </c>
      <c r="B108" s="14"/>
      <c r="C108" s="11" t="str">
        <f aca="false">IF(A108="","",SUMIF(送货回执登记!$C$2:$C$500,A108,送货回执登记!$D$2:$D$500))</f>
        <v/>
      </c>
      <c r="D108" s="11" t="str">
        <f aca="false">IF(A108="","",SUMIF(收款记录!$B$2:$B$500,A108,收款记录!$C$2:$C$500))</f>
        <v/>
      </c>
      <c r="E108" s="11" t="str">
        <f aca="false">IF(A108="","",N(B108)+C108-D108)</f>
        <v/>
      </c>
      <c r="F108" s="11" t="str">
        <f aca="false">IF(A108="","",IFERROR(INDEX(客户档案!$K$2:$K$300,MATCH(A108,客户档案!$B$2:$B$300,0)),""))</f>
        <v/>
      </c>
      <c r="G108" s="10" t="str">
        <f aca="false">IF(A108="","",IF(ISNUMBER(F108),IF(AND(F108&gt;0,E108&gt;F108),"超额!先收款再供货",""),""))</f>
        <v/>
      </c>
    </row>
    <row r="109" customFormat="false" ht="15" hidden="false" customHeight="false" outlineLevel="0" collapsed="false">
      <c r="A109" s="10" t="str">
        <f aca="false">IF(客户档案!B109="","",客户档案!B109)</f>
        <v/>
      </c>
      <c r="B109" s="14"/>
      <c r="C109" s="11" t="str">
        <f aca="false">IF(A109="","",SUMIF(送货回执登记!$C$2:$C$500,A109,送货回执登记!$D$2:$D$500))</f>
        <v/>
      </c>
      <c r="D109" s="11" t="str">
        <f aca="false">IF(A109="","",SUMIF(收款记录!$B$2:$B$500,A109,收款记录!$C$2:$C$500))</f>
        <v/>
      </c>
      <c r="E109" s="11" t="str">
        <f aca="false">IF(A109="","",N(B109)+C109-D109)</f>
        <v/>
      </c>
      <c r="F109" s="11" t="str">
        <f aca="false">IF(A109="","",IFERROR(INDEX(客户档案!$K$2:$K$300,MATCH(A109,客户档案!$B$2:$B$300,0)),""))</f>
        <v/>
      </c>
      <c r="G109" s="10" t="str">
        <f aca="false">IF(A109="","",IF(ISNUMBER(F109),IF(AND(F109&gt;0,E109&gt;F109),"超额!先收款再供货",""),""))</f>
        <v/>
      </c>
    </row>
    <row r="110" customFormat="false" ht="15" hidden="false" customHeight="false" outlineLevel="0" collapsed="false">
      <c r="A110" s="10" t="str">
        <f aca="false">IF(客户档案!B110="","",客户档案!B110)</f>
        <v/>
      </c>
      <c r="B110" s="14"/>
      <c r="C110" s="11" t="str">
        <f aca="false">IF(A110="","",SUMIF(送货回执登记!$C$2:$C$500,A110,送货回执登记!$D$2:$D$500))</f>
        <v/>
      </c>
      <c r="D110" s="11" t="str">
        <f aca="false">IF(A110="","",SUMIF(收款记录!$B$2:$B$500,A110,收款记录!$C$2:$C$500))</f>
        <v/>
      </c>
      <c r="E110" s="11" t="str">
        <f aca="false">IF(A110="","",N(B110)+C110-D110)</f>
        <v/>
      </c>
      <c r="F110" s="11" t="str">
        <f aca="false">IF(A110="","",IFERROR(INDEX(客户档案!$K$2:$K$300,MATCH(A110,客户档案!$B$2:$B$300,0)),""))</f>
        <v/>
      </c>
      <c r="G110" s="10" t="str">
        <f aca="false">IF(A110="","",IF(ISNUMBER(F110),IF(AND(F110&gt;0,E110&gt;F110),"超额!先收款再供货",""),""))</f>
        <v/>
      </c>
    </row>
    <row r="111" customFormat="false" ht="15" hidden="false" customHeight="false" outlineLevel="0" collapsed="false">
      <c r="A111" s="10" t="str">
        <f aca="false">IF(客户档案!B111="","",客户档案!B111)</f>
        <v/>
      </c>
      <c r="B111" s="14"/>
      <c r="C111" s="11" t="str">
        <f aca="false">IF(A111="","",SUMIF(送货回执登记!$C$2:$C$500,A111,送货回执登记!$D$2:$D$500))</f>
        <v/>
      </c>
      <c r="D111" s="11" t="str">
        <f aca="false">IF(A111="","",SUMIF(收款记录!$B$2:$B$500,A111,收款记录!$C$2:$C$500))</f>
        <v/>
      </c>
      <c r="E111" s="11" t="str">
        <f aca="false">IF(A111="","",N(B111)+C111-D111)</f>
        <v/>
      </c>
      <c r="F111" s="11" t="str">
        <f aca="false">IF(A111="","",IFERROR(INDEX(客户档案!$K$2:$K$300,MATCH(A111,客户档案!$B$2:$B$300,0)),""))</f>
        <v/>
      </c>
      <c r="G111" s="10" t="str">
        <f aca="false">IF(A111="","",IF(ISNUMBER(F111),IF(AND(F111&gt;0,E111&gt;F111),"超额!先收款再供货",""),""))</f>
        <v/>
      </c>
    </row>
    <row r="112" customFormat="false" ht="15" hidden="false" customHeight="false" outlineLevel="0" collapsed="false">
      <c r="A112" s="10" t="str">
        <f aca="false">IF(客户档案!B112="","",客户档案!B112)</f>
        <v/>
      </c>
      <c r="B112" s="14"/>
      <c r="C112" s="11" t="str">
        <f aca="false">IF(A112="","",SUMIF(送货回执登记!$C$2:$C$500,A112,送货回执登记!$D$2:$D$500))</f>
        <v/>
      </c>
      <c r="D112" s="11" t="str">
        <f aca="false">IF(A112="","",SUMIF(收款记录!$B$2:$B$500,A112,收款记录!$C$2:$C$500))</f>
        <v/>
      </c>
      <c r="E112" s="11" t="str">
        <f aca="false">IF(A112="","",N(B112)+C112-D112)</f>
        <v/>
      </c>
      <c r="F112" s="11" t="str">
        <f aca="false">IF(A112="","",IFERROR(INDEX(客户档案!$K$2:$K$300,MATCH(A112,客户档案!$B$2:$B$300,0)),""))</f>
        <v/>
      </c>
      <c r="G112" s="10" t="str">
        <f aca="false">IF(A112="","",IF(ISNUMBER(F112),IF(AND(F112&gt;0,E112&gt;F112),"超额!先收款再供货",""),""))</f>
        <v/>
      </c>
    </row>
    <row r="113" customFormat="false" ht="15" hidden="false" customHeight="false" outlineLevel="0" collapsed="false">
      <c r="A113" s="10" t="str">
        <f aca="false">IF(客户档案!B113="","",客户档案!B113)</f>
        <v/>
      </c>
      <c r="B113" s="14"/>
      <c r="C113" s="11" t="str">
        <f aca="false">IF(A113="","",SUMIF(送货回执登记!$C$2:$C$500,A113,送货回执登记!$D$2:$D$500))</f>
        <v/>
      </c>
      <c r="D113" s="11" t="str">
        <f aca="false">IF(A113="","",SUMIF(收款记录!$B$2:$B$500,A113,收款记录!$C$2:$C$500))</f>
        <v/>
      </c>
      <c r="E113" s="11" t="str">
        <f aca="false">IF(A113="","",N(B113)+C113-D113)</f>
        <v/>
      </c>
      <c r="F113" s="11" t="str">
        <f aca="false">IF(A113="","",IFERROR(INDEX(客户档案!$K$2:$K$300,MATCH(A113,客户档案!$B$2:$B$300,0)),""))</f>
        <v/>
      </c>
      <c r="G113" s="10" t="str">
        <f aca="false">IF(A113="","",IF(ISNUMBER(F113),IF(AND(F113&gt;0,E113&gt;F113),"超额!先收款再供货",""),""))</f>
        <v/>
      </c>
    </row>
    <row r="114" customFormat="false" ht="15" hidden="false" customHeight="false" outlineLevel="0" collapsed="false">
      <c r="A114" s="10" t="str">
        <f aca="false">IF(客户档案!B114="","",客户档案!B114)</f>
        <v/>
      </c>
      <c r="B114" s="14"/>
      <c r="C114" s="11" t="str">
        <f aca="false">IF(A114="","",SUMIF(送货回执登记!$C$2:$C$500,A114,送货回执登记!$D$2:$D$500))</f>
        <v/>
      </c>
      <c r="D114" s="11" t="str">
        <f aca="false">IF(A114="","",SUMIF(收款记录!$B$2:$B$500,A114,收款记录!$C$2:$C$500))</f>
        <v/>
      </c>
      <c r="E114" s="11" t="str">
        <f aca="false">IF(A114="","",N(B114)+C114-D114)</f>
        <v/>
      </c>
      <c r="F114" s="11" t="str">
        <f aca="false">IF(A114="","",IFERROR(INDEX(客户档案!$K$2:$K$300,MATCH(A114,客户档案!$B$2:$B$300,0)),""))</f>
        <v/>
      </c>
      <c r="G114" s="10" t="str">
        <f aca="false">IF(A114="","",IF(ISNUMBER(F114),IF(AND(F114&gt;0,E114&gt;F114),"超额!先收款再供货",""),""))</f>
        <v/>
      </c>
    </row>
    <row r="115" customFormat="false" ht="15" hidden="false" customHeight="false" outlineLevel="0" collapsed="false">
      <c r="A115" s="10" t="str">
        <f aca="false">IF(客户档案!B115="","",客户档案!B115)</f>
        <v/>
      </c>
      <c r="B115" s="14"/>
      <c r="C115" s="11" t="str">
        <f aca="false">IF(A115="","",SUMIF(送货回执登记!$C$2:$C$500,A115,送货回执登记!$D$2:$D$500))</f>
        <v/>
      </c>
      <c r="D115" s="11" t="str">
        <f aca="false">IF(A115="","",SUMIF(收款记录!$B$2:$B$500,A115,收款记录!$C$2:$C$500))</f>
        <v/>
      </c>
      <c r="E115" s="11" t="str">
        <f aca="false">IF(A115="","",N(B115)+C115-D115)</f>
        <v/>
      </c>
      <c r="F115" s="11" t="str">
        <f aca="false">IF(A115="","",IFERROR(INDEX(客户档案!$K$2:$K$300,MATCH(A115,客户档案!$B$2:$B$300,0)),""))</f>
        <v/>
      </c>
      <c r="G115" s="10" t="str">
        <f aca="false">IF(A115="","",IF(ISNUMBER(F115),IF(AND(F115&gt;0,E115&gt;F115),"超额!先收款再供货",""),""))</f>
        <v/>
      </c>
    </row>
    <row r="116" customFormat="false" ht="15" hidden="false" customHeight="false" outlineLevel="0" collapsed="false">
      <c r="A116" s="10" t="str">
        <f aca="false">IF(客户档案!B116="","",客户档案!B116)</f>
        <v/>
      </c>
      <c r="B116" s="14"/>
      <c r="C116" s="11" t="str">
        <f aca="false">IF(A116="","",SUMIF(送货回执登记!$C$2:$C$500,A116,送货回执登记!$D$2:$D$500))</f>
        <v/>
      </c>
      <c r="D116" s="11" t="str">
        <f aca="false">IF(A116="","",SUMIF(收款记录!$B$2:$B$500,A116,收款记录!$C$2:$C$500))</f>
        <v/>
      </c>
      <c r="E116" s="11" t="str">
        <f aca="false">IF(A116="","",N(B116)+C116-D116)</f>
        <v/>
      </c>
      <c r="F116" s="11" t="str">
        <f aca="false">IF(A116="","",IFERROR(INDEX(客户档案!$K$2:$K$300,MATCH(A116,客户档案!$B$2:$B$300,0)),""))</f>
        <v/>
      </c>
      <c r="G116" s="10" t="str">
        <f aca="false">IF(A116="","",IF(ISNUMBER(F116),IF(AND(F116&gt;0,E116&gt;F116),"超额!先收款再供货",""),""))</f>
        <v/>
      </c>
    </row>
    <row r="117" customFormat="false" ht="15" hidden="false" customHeight="false" outlineLevel="0" collapsed="false">
      <c r="A117" s="10" t="str">
        <f aca="false">IF(客户档案!B117="","",客户档案!B117)</f>
        <v/>
      </c>
      <c r="B117" s="14"/>
      <c r="C117" s="11" t="str">
        <f aca="false">IF(A117="","",SUMIF(送货回执登记!$C$2:$C$500,A117,送货回执登记!$D$2:$D$500))</f>
        <v/>
      </c>
      <c r="D117" s="11" t="str">
        <f aca="false">IF(A117="","",SUMIF(收款记录!$B$2:$B$500,A117,收款记录!$C$2:$C$500))</f>
        <v/>
      </c>
      <c r="E117" s="11" t="str">
        <f aca="false">IF(A117="","",N(B117)+C117-D117)</f>
        <v/>
      </c>
      <c r="F117" s="11" t="str">
        <f aca="false">IF(A117="","",IFERROR(INDEX(客户档案!$K$2:$K$300,MATCH(A117,客户档案!$B$2:$B$300,0)),""))</f>
        <v/>
      </c>
      <c r="G117" s="10" t="str">
        <f aca="false">IF(A117="","",IF(ISNUMBER(F117),IF(AND(F117&gt;0,E117&gt;F117),"超额!先收款再供货",""),""))</f>
        <v/>
      </c>
    </row>
    <row r="118" customFormat="false" ht="15" hidden="false" customHeight="false" outlineLevel="0" collapsed="false">
      <c r="A118" s="10" t="str">
        <f aca="false">IF(客户档案!B118="","",客户档案!B118)</f>
        <v/>
      </c>
      <c r="B118" s="14"/>
      <c r="C118" s="11" t="str">
        <f aca="false">IF(A118="","",SUMIF(送货回执登记!$C$2:$C$500,A118,送货回执登记!$D$2:$D$500))</f>
        <v/>
      </c>
      <c r="D118" s="11" t="str">
        <f aca="false">IF(A118="","",SUMIF(收款记录!$B$2:$B$500,A118,收款记录!$C$2:$C$500))</f>
        <v/>
      </c>
      <c r="E118" s="11" t="str">
        <f aca="false">IF(A118="","",N(B118)+C118-D118)</f>
        <v/>
      </c>
      <c r="F118" s="11" t="str">
        <f aca="false">IF(A118="","",IFERROR(INDEX(客户档案!$K$2:$K$300,MATCH(A118,客户档案!$B$2:$B$300,0)),""))</f>
        <v/>
      </c>
      <c r="G118" s="10" t="str">
        <f aca="false">IF(A118="","",IF(ISNUMBER(F118),IF(AND(F118&gt;0,E118&gt;F118),"超额!先收款再供货",""),""))</f>
        <v/>
      </c>
    </row>
    <row r="119" customFormat="false" ht="15" hidden="false" customHeight="false" outlineLevel="0" collapsed="false">
      <c r="A119" s="10" t="str">
        <f aca="false">IF(客户档案!B119="","",客户档案!B119)</f>
        <v/>
      </c>
      <c r="B119" s="14"/>
      <c r="C119" s="11" t="str">
        <f aca="false">IF(A119="","",SUMIF(送货回执登记!$C$2:$C$500,A119,送货回执登记!$D$2:$D$500))</f>
        <v/>
      </c>
      <c r="D119" s="11" t="str">
        <f aca="false">IF(A119="","",SUMIF(收款记录!$B$2:$B$500,A119,收款记录!$C$2:$C$500))</f>
        <v/>
      </c>
      <c r="E119" s="11" t="str">
        <f aca="false">IF(A119="","",N(B119)+C119-D119)</f>
        <v/>
      </c>
      <c r="F119" s="11" t="str">
        <f aca="false">IF(A119="","",IFERROR(INDEX(客户档案!$K$2:$K$300,MATCH(A119,客户档案!$B$2:$B$300,0)),""))</f>
        <v/>
      </c>
      <c r="G119" s="10" t="str">
        <f aca="false">IF(A119="","",IF(ISNUMBER(F119),IF(AND(F119&gt;0,E119&gt;F119),"超额!先收款再供货",""),""))</f>
        <v/>
      </c>
    </row>
    <row r="120" customFormat="false" ht="15" hidden="false" customHeight="false" outlineLevel="0" collapsed="false">
      <c r="A120" s="10" t="str">
        <f aca="false">IF(客户档案!B120="","",客户档案!B120)</f>
        <v/>
      </c>
      <c r="B120" s="14"/>
      <c r="C120" s="11" t="str">
        <f aca="false">IF(A120="","",SUMIF(送货回执登记!$C$2:$C$500,A120,送货回执登记!$D$2:$D$500))</f>
        <v/>
      </c>
      <c r="D120" s="11" t="str">
        <f aca="false">IF(A120="","",SUMIF(收款记录!$B$2:$B$500,A120,收款记录!$C$2:$C$500))</f>
        <v/>
      </c>
      <c r="E120" s="11" t="str">
        <f aca="false">IF(A120="","",N(B120)+C120-D120)</f>
        <v/>
      </c>
      <c r="F120" s="11" t="str">
        <f aca="false">IF(A120="","",IFERROR(INDEX(客户档案!$K$2:$K$300,MATCH(A120,客户档案!$B$2:$B$300,0)),""))</f>
        <v/>
      </c>
      <c r="G120" s="10" t="str">
        <f aca="false">IF(A120="","",IF(ISNUMBER(F120),IF(AND(F120&gt;0,E120&gt;F120),"超额!先收款再供货",""),""))</f>
        <v/>
      </c>
    </row>
    <row r="121" customFormat="false" ht="15" hidden="false" customHeight="false" outlineLevel="0" collapsed="false">
      <c r="A121" s="10" t="str">
        <f aca="false">IF(客户档案!B121="","",客户档案!B121)</f>
        <v/>
      </c>
      <c r="B121" s="14"/>
      <c r="C121" s="11" t="str">
        <f aca="false">IF(A121="","",SUMIF(送货回执登记!$C$2:$C$500,A121,送货回执登记!$D$2:$D$500))</f>
        <v/>
      </c>
      <c r="D121" s="11" t="str">
        <f aca="false">IF(A121="","",SUMIF(收款记录!$B$2:$B$500,A121,收款记录!$C$2:$C$500))</f>
        <v/>
      </c>
      <c r="E121" s="11" t="str">
        <f aca="false">IF(A121="","",N(B121)+C121-D121)</f>
        <v/>
      </c>
      <c r="F121" s="11" t="str">
        <f aca="false">IF(A121="","",IFERROR(INDEX(客户档案!$K$2:$K$300,MATCH(A121,客户档案!$B$2:$B$300,0)),""))</f>
        <v/>
      </c>
      <c r="G121" s="10" t="str">
        <f aca="false">IF(A121="","",IF(ISNUMBER(F121),IF(AND(F121&gt;0,E121&gt;F121),"超额!先收款再供货",""),""))</f>
        <v/>
      </c>
    </row>
    <row r="122" customFormat="false" ht="15" hidden="false" customHeight="false" outlineLevel="0" collapsed="false">
      <c r="A122" s="10" t="str">
        <f aca="false">IF(客户档案!B122="","",客户档案!B122)</f>
        <v/>
      </c>
      <c r="B122" s="14"/>
      <c r="C122" s="11" t="str">
        <f aca="false">IF(A122="","",SUMIF(送货回执登记!$C$2:$C$500,A122,送货回执登记!$D$2:$D$500))</f>
        <v/>
      </c>
      <c r="D122" s="11" t="str">
        <f aca="false">IF(A122="","",SUMIF(收款记录!$B$2:$B$500,A122,收款记录!$C$2:$C$500))</f>
        <v/>
      </c>
      <c r="E122" s="11" t="str">
        <f aca="false">IF(A122="","",N(B122)+C122-D122)</f>
        <v/>
      </c>
      <c r="F122" s="11" t="str">
        <f aca="false">IF(A122="","",IFERROR(INDEX(客户档案!$K$2:$K$300,MATCH(A122,客户档案!$B$2:$B$300,0)),""))</f>
        <v/>
      </c>
      <c r="G122" s="10" t="str">
        <f aca="false">IF(A122="","",IF(ISNUMBER(F122),IF(AND(F122&gt;0,E122&gt;F122),"超额!先收款再供货",""),""))</f>
        <v/>
      </c>
    </row>
    <row r="123" customFormat="false" ht="15" hidden="false" customHeight="false" outlineLevel="0" collapsed="false">
      <c r="A123" s="10" t="str">
        <f aca="false">IF(客户档案!B123="","",客户档案!B123)</f>
        <v/>
      </c>
      <c r="B123" s="14"/>
      <c r="C123" s="11" t="str">
        <f aca="false">IF(A123="","",SUMIF(送货回执登记!$C$2:$C$500,A123,送货回执登记!$D$2:$D$500))</f>
        <v/>
      </c>
      <c r="D123" s="11" t="str">
        <f aca="false">IF(A123="","",SUMIF(收款记录!$B$2:$B$500,A123,收款记录!$C$2:$C$500))</f>
        <v/>
      </c>
      <c r="E123" s="11" t="str">
        <f aca="false">IF(A123="","",N(B123)+C123-D123)</f>
        <v/>
      </c>
      <c r="F123" s="11" t="str">
        <f aca="false">IF(A123="","",IFERROR(INDEX(客户档案!$K$2:$K$300,MATCH(A123,客户档案!$B$2:$B$300,0)),""))</f>
        <v/>
      </c>
      <c r="G123" s="10" t="str">
        <f aca="false">IF(A123="","",IF(ISNUMBER(F123),IF(AND(F123&gt;0,E123&gt;F123),"超额!先收款再供货",""),""))</f>
        <v/>
      </c>
    </row>
    <row r="124" customFormat="false" ht="15" hidden="false" customHeight="false" outlineLevel="0" collapsed="false">
      <c r="A124" s="10" t="str">
        <f aca="false">IF(客户档案!B124="","",客户档案!B124)</f>
        <v/>
      </c>
      <c r="B124" s="14"/>
      <c r="C124" s="11" t="str">
        <f aca="false">IF(A124="","",SUMIF(送货回执登记!$C$2:$C$500,A124,送货回执登记!$D$2:$D$500))</f>
        <v/>
      </c>
      <c r="D124" s="11" t="str">
        <f aca="false">IF(A124="","",SUMIF(收款记录!$B$2:$B$500,A124,收款记录!$C$2:$C$500))</f>
        <v/>
      </c>
      <c r="E124" s="11" t="str">
        <f aca="false">IF(A124="","",N(B124)+C124-D124)</f>
        <v/>
      </c>
      <c r="F124" s="11" t="str">
        <f aca="false">IF(A124="","",IFERROR(INDEX(客户档案!$K$2:$K$300,MATCH(A124,客户档案!$B$2:$B$300,0)),""))</f>
        <v/>
      </c>
      <c r="G124" s="10" t="str">
        <f aca="false">IF(A124="","",IF(ISNUMBER(F124),IF(AND(F124&gt;0,E124&gt;F124),"超额!先收款再供货",""),""))</f>
        <v/>
      </c>
    </row>
    <row r="125" customFormat="false" ht="15" hidden="false" customHeight="false" outlineLevel="0" collapsed="false">
      <c r="A125" s="10" t="str">
        <f aca="false">IF(客户档案!B125="","",客户档案!B125)</f>
        <v/>
      </c>
      <c r="B125" s="14"/>
      <c r="C125" s="11" t="str">
        <f aca="false">IF(A125="","",SUMIF(送货回执登记!$C$2:$C$500,A125,送货回执登记!$D$2:$D$500))</f>
        <v/>
      </c>
      <c r="D125" s="11" t="str">
        <f aca="false">IF(A125="","",SUMIF(收款记录!$B$2:$B$500,A125,收款记录!$C$2:$C$500))</f>
        <v/>
      </c>
      <c r="E125" s="11" t="str">
        <f aca="false">IF(A125="","",N(B125)+C125-D125)</f>
        <v/>
      </c>
      <c r="F125" s="11" t="str">
        <f aca="false">IF(A125="","",IFERROR(INDEX(客户档案!$K$2:$K$300,MATCH(A125,客户档案!$B$2:$B$300,0)),""))</f>
        <v/>
      </c>
      <c r="G125" s="10" t="str">
        <f aca="false">IF(A125="","",IF(ISNUMBER(F125),IF(AND(F125&gt;0,E125&gt;F125),"超额!先收款再供货",""),""))</f>
        <v/>
      </c>
    </row>
    <row r="126" customFormat="false" ht="15" hidden="false" customHeight="false" outlineLevel="0" collapsed="false">
      <c r="A126" s="10" t="str">
        <f aca="false">IF(客户档案!B126="","",客户档案!B126)</f>
        <v/>
      </c>
      <c r="B126" s="14"/>
      <c r="C126" s="11" t="str">
        <f aca="false">IF(A126="","",SUMIF(送货回执登记!$C$2:$C$500,A126,送货回执登记!$D$2:$D$500))</f>
        <v/>
      </c>
      <c r="D126" s="11" t="str">
        <f aca="false">IF(A126="","",SUMIF(收款记录!$B$2:$B$500,A126,收款记录!$C$2:$C$500))</f>
        <v/>
      </c>
      <c r="E126" s="11" t="str">
        <f aca="false">IF(A126="","",N(B126)+C126-D126)</f>
        <v/>
      </c>
      <c r="F126" s="11" t="str">
        <f aca="false">IF(A126="","",IFERROR(INDEX(客户档案!$K$2:$K$300,MATCH(A126,客户档案!$B$2:$B$300,0)),""))</f>
        <v/>
      </c>
      <c r="G126" s="10" t="str">
        <f aca="false">IF(A126="","",IF(ISNUMBER(F126),IF(AND(F126&gt;0,E126&gt;F126),"超额!先收款再供货",""),""))</f>
        <v/>
      </c>
    </row>
    <row r="127" customFormat="false" ht="15" hidden="false" customHeight="false" outlineLevel="0" collapsed="false">
      <c r="A127" s="10" t="str">
        <f aca="false">IF(客户档案!B127="","",客户档案!B127)</f>
        <v/>
      </c>
      <c r="B127" s="14"/>
      <c r="C127" s="11" t="str">
        <f aca="false">IF(A127="","",SUMIF(送货回执登记!$C$2:$C$500,A127,送货回执登记!$D$2:$D$500))</f>
        <v/>
      </c>
      <c r="D127" s="11" t="str">
        <f aca="false">IF(A127="","",SUMIF(收款记录!$B$2:$B$500,A127,收款记录!$C$2:$C$500))</f>
        <v/>
      </c>
      <c r="E127" s="11" t="str">
        <f aca="false">IF(A127="","",N(B127)+C127-D127)</f>
        <v/>
      </c>
      <c r="F127" s="11" t="str">
        <f aca="false">IF(A127="","",IFERROR(INDEX(客户档案!$K$2:$K$300,MATCH(A127,客户档案!$B$2:$B$300,0)),""))</f>
        <v/>
      </c>
      <c r="G127" s="10" t="str">
        <f aca="false">IF(A127="","",IF(ISNUMBER(F127),IF(AND(F127&gt;0,E127&gt;F127),"超额!先收款再供货",""),""))</f>
        <v/>
      </c>
    </row>
    <row r="128" customFormat="false" ht="15" hidden="false" customHeight="false" outlineLevel="0" collapsed="false">
      <c r="A128" s="10" t="str">
        <f aca="false">IF(客户档案!B128="","",客户档案!B128)</f>
        <v/>
      </c>
      <c r="B128" s="14"/>
      <c r="C128" s="11" t="str">
        <f aca="false">IF(A128="","",SUMIF(送货回执登记!$C$2:$C$500,A128,送货回执登记!$D$2:$D$500))</f>
        <v/>
      </c>
      <c r="D128" s="11" t="str">
        <f aca="false">IF(A128="","",SUMIF(收款记录!$B$2:$B$500,A128,收款记录!$C$2:$C$500))</f>
        <v/>
      </c>
      <c r="E128" s="11" t="str">
        <f aca="false">IF(A128="","",N(B128)+C128-D128)</f>
        <v/>
      </c>
      <c r="F128" s="11" t="str">
        <f aca="false">IF(A128="","",IFERROR(INDEX(客户档案!$K$2:$K$300,MATCH(A128,客户档案!$B$2:$B$300,0)),""))</f>
        <v/>
      </c>
      <c r="G128" s="10" t="str">
        <f aca="false">IF(A128="","",IF(ISNUMBER(F128),IF(AND(F128&gt;0,E128&gt;F128),"超额!先收款再供货",""),""))</f>
        <v/>
      </c>
    </row>
    <row r="129" customFormat="false" ht="15" hidden="false" customHeight="false" outlineLevel="0" collapsed="false">
      <c r="A129" s="10" t="str">
        <f aca="false">IF(客户档案!B129="","",客户档案!B129)</f>
        <v/>
      </c>
      <c r="B129" s="14"/>
      <c r="C129" s="11" t="str">
        <f aca="false">IF(A129="","",SUMIF(送货回执登记!$C$2:$C$500,A129,送货回执登记!$D$2:$D$500))</f>
        <v/>
      </c>
      <c r="D129" s="11" t="str">
        <f aca="false">IF(A129="","",SUMIF(收款记录!$B$2:$B$500,A129,收款记录!$C$2:$C$500))</f>
        <v/>
      </c>
      <c r="E129" s="11" t="str">
        <f aca="false">IF(A129="","",N(B129)+C129-D129)</f>
        <v/>
      </c>
      <c r="F129" s="11" t="str">
        <f aca="false">IF(A129="","",IFERROR(INDEX(客户档案!$K$2:$K$300,MATCH(A129,客户档案!$B$2:$B$300,0)),""))</f>
        <v/>
      </c>
      <c r="G129" s="10" t="str">
        <f aca="false">IF(A129="","",IF(ISNUMBER(F129),IF(AND(F129&gt;0,E129&gt;F129),"超额!先收款再供货",""),""))</f>
        <v/>
      </c>
    </row>
    <row r="130" customFormat="false" ht="15" hidden="false" customHeight="false" outlineLevel="0" collapsed="false">
      <c r="A130" s="10" t="str">
        <f aca="false">IF(客户档案!B130="","",客户档案!B130)</f>
        <v/>
      </c>
      <c r="B130" s="14"/>
      <c r="C130" s="11" t="str">
        <f aca="false">IF(A130="","",SUMIF(送货回执登记!$C$2:$C$500,A130,送货回执登记!$D$2:$D$500))</f>
        <v/>
      </c>
      <c r="D130" s="11" t="str">
        <f aca="false">IF(A130="","",SUMIF(收款记录!$B$2:$B$500,A130,收款记录!$C$2:$C$500))</f>
        <v/>
      </c>
      <c r="E130" s="11" t="str">
        <f aca="false">IF(A130="","",N(B130)+C130-D130)</f>
        <v/>
      </c>
      <c r="F130" s="11" t="str">
        <f aca="false">IF(A130="","",IFERROR(INDEX(客户档案!$K$2:$K$300,MATCH(A130,客户档案!$B$2:$B$300,0)),""))</f>
        <v/>
      </c>
      <c r="G130" s="10" t="str">
        <f aca="false">IF(A130="","",IF(ISNUMBER(F130),IF(AND(F130&gt;0,E130&gt;F130),"超额!先收款再供货",""),""))</f>
        <v/>
      </c>
    </row>
    <row r="131" customFormat="false" ht="15" hidden="false" customHeight="false" outlineLevel="0" collapsed="false">
      <c r="A131" s="10" t="str">
        <f aca="false">IF(客户档案!B131="","",客户档案!B131)</f>
        <v/>
      </c>
      <c r="B131" s="14"/>
      <c r="C131" s="11" t="str">
        <f aca="false">IF(A131="","",SUMIF(送货回执登记!$C$2:$C$500,A131,送货回执登记!$D$2:$D$500))</f>
        <v/>
      </c>
      <c r="D131" s="11" t="str">
        <f aca="false">IF(A131="","",SUMIF(收款记录!$B$2:$B$500,A131,收款记录!$C$2:$C$500))</f>
        <v/>
      </c>
      <c r="E131" s="11" t="str">
        <f aca="false">IF(A131="","",N(B131)+C131-D131)</f>
        <v/>
      </c>
      <c r="F131" s="11" t="str">
        <f aca="false">IF(A131="","",IFERROR(INDEX(客户档案!$K$2:$K$300,MATCH(A131,客户档案!$B$2:$B$300,0)),""))</f>
        <v/>
      </c>
      <c r="G131" s="10" t="str">
        <f aca="false">IF(A131="","",IF(ISNUMBER(F131),IF(AND(F131&gt;0,E131&gt;F131),"超额!先收款再供货",""),""))</f>
        <v/>
      </c>
    </row>
    <row r="132" customFormat="false" ht="15" hidden="false" customHeight="false" outlineLevel="0" collapsed="false">
      <c r="A132" s="10" t="str">
        <f aca="false">IF(客户档案!B132="","",客户档案!B132)</f>
        <v/>
      </c>
      <c r="B132" s="14"/>
      <c r="C132" s="11" t="str">
        <f aca="false">IF(A132="","",SUMIF(送货回执登记!$C$2:$C$500,A132,送货回执登记!$D$2:$D$500))</f>
        <v/>
      </c>
      <c r="D132" s="11" t="str">
        <f aca="false">IF(A132="","",SUMIF(收款记录!$B$2:$B$500,A132,收款记录!$C$2:$C$500))</f>
        <v/>
      </c>
      <c r="E132" s="11" t="str">
        <f aca="false">IF(A132="","",N(B132)+C132-D132)</f>
        <v/>
      </c>
      <c r="F132" s="11" t="str">
        <f aca="false">IF(A132="","",IFERROR(INDEX(客户档案!$K$2:$K$300,MATCH(A132,客户档案!$B$2:$B$300,0)),""))</f>
        <v/>
      </c>
      <c r="G132" s="10" t="str">
        <f aca="false">IF(A132="","",IF(ISNUMBER(F132),IF(AND(F132&gt;0,E132&gt;F132),"超额!先收款再供货",""),""))</f>
        <v/>
      </c>
    </row>
    <row r="133" customFormat="false" ht="15" hidden="false" customHeight="false" outlineLevel="0" collapsed="false">
      <c r="A133" s="10" t="str">
        <f aca="false">IF(客户档案!B133="","",客户档案!B133)</f>
        <v/>
      </c>
      <c r="B133" s="14"/>
      <c r="C133" s="11" t="str">
        <f aca="false">IF(A133="","",SUMIF(送货回执登记!$C$2:$C$500,A133,送货回执登记!$D$2:$D$500))</f>
        <v/>
      </c>
      <c r="D133" s="11" t="str">
        <f aca="false">IF(A133="","",SUMIF(收款记录!$B$2:$B$500,A133,收款记录!$C$2:$C$500))</f>
        <v/>
      </c>
      <c r="E133" s="11" t="str">
        <f aca="false">IF(A133="","",N(B133)+C133-D133)</f>
        <v/>
      </c>
      <c r="F133" s="11" t="str">
        <f aca="false">IF(A133="","",IFERROR(INDEX(客户档案!$K$2:$K$300,MATCH(A133,客户档案!$B$2:$B$300,0)),""))</f>
        <v/>
      </c>
      <c r="G133" s="10" t="str">
        <f aca="false">IF(A133="","",IF(ISNUMBER(F133),IF(AND(F133&gt;0,E133&gt;F133),"超额!先收款再供货",""),""))</f>
        <v/>
      </c>
    </row>
    <row r="134" customFormat="false" ht="15" hidden="false" customHeight="false" outlineLevel="0" collapsed="false">
      <c r="A134" s="10" t="str">
        <f aca="false">IF(客户档案!B134="","",客户档案!B134)</f>
        <v/>
      </c>
      <c r="B134" s="14"/>
      <c r="C134" s="11" t="str">
        <f aca="false">IF(A134="","",SUMIF(送货回执登记!$C$2:$C$500,A134,送货回执登记!$D$2:$D$500))</f>
        <v/>
      </c>
      <c r="D134" s="11" t="str">
        <f aca="false">IF(A134="","",SUMIF(收款记录!$B$2:$B$500,A134,收款记录!$C$2:$C$500))</f>
        <v/>
      </c>
      <c r="E134" s="11" t="str">
        <f aca="false">IF(A134="","",N(B134)+C134-D134)</f>
        <v/>
      </c>
      <c r="F134" s="11" t="str">
        <f aca="false">IF(A134="","",IFERROR(INDEX(客户档案!$K$2:$K$300,MATCH(A134,客户档案!$B$2:$B$300,0)),""))</f>
        <v/>
      </c>
      <c r="G134" s="10" t="str">
        <f aca="false">IF(A134="","",IF(ISNUMBER(F134),IF(AND(F134&gt;0,E134&gt;F134),"超额!先收款再供货",""),""))</f>
        <v/>
      </c>
    </row>
    <row r="135" customFormat="false" ht="15" hidden="false" customHeight="false" outlineLevel="0" collapsed="false">
      <c r="A135" s="10" t="str">
        <f aca="false">IF(客户档案!B135="","",客户档案!B135)</f>
        <v/>
      </c>
      <c r="B135" s="14"/>
      <c r="C135" s="11" t="str">
        <f aca="false">IF(A135="","",SUMIF(送货回执登记!$C$2:$C$500,A135,送货回执登记!$D$2:$D$500))</f>
        <v/>
      </c>
      <c r="D135" s="11" t="str">
        <f aca="false">IF(A135="","",SUMIF(收款记录!$B$2:$B$500,A135,收款记录!$C$2:$C$500))</f>
        <v/>
      </c>
      <c r="E135" s="11" t="str">
        <f aca="false">IF(A135="","",N(B135)+C135-D135)</f>
        <v/>
      </c>
      <c r="F135" s="11" t="str">
        <f aca="false">IF(A135="","",IFERROR(INDEX(客户档案!$K$2:$K$300,MATCH(A135,客户档案!$B$2:$B$300,0)),""))</f>
        <v/>
      </c>
      <c r="G135" s="10" t="str">
        <f aca="false">IF(A135="","",IF(ISNUMBER(F135),IF(AND(F135&gt;0,E135&gt;F135),"超额!先收款再供货",""),""))</f>
        <v/>
      </c>
    </row>
    <row r="136" customFormat="false" ht="15" hidden="false" customHeight="false" outlineLevel="0" collapsed="false">
      <c r="A136" s="10" t="str">
        <f aca="false">IF(客户档案!B136="","",客户档案!B136)</f>
        <v/>
      </c>
      <c r="B136" s="14"/>
      <c r="C136" s="11" t="str">
        <f aca="false">IF(A136="","",SUMIF(送货回执登记!$C$2:$C$500,A136,送货回执登记!$D$2:$D$500))</f>
        <v/>
      </c>
      <c r="D136" s="11" t="str">
        <f aca="false">IF(A136="","",SUMIF(收款记录!$B$2:$B$500,A136,收款记录!$C$2:$C$500))</f>
        <v/>
      </c>
      <c r="E136" s="11" t="str">
        <f aca="false">IF(A136="","",N(B136)+C136-D136)</f>
        <v/>
      </c>
      <c r="F136" s="11" t="str">
        <f aca="false">IF(A136="","",IFERROR(INDEX(客户档案!$K$2:$K$300,MATCH(A136,客户档案!$B$2:$B$300,0)),""))</f>
        <v/>
      </c>
      <c r="G136" s="10" t="str">
        <f aca="false">IF(A136="","",IF(ISNUMBER(F136),IF(AND(F136&gt;0,E136&gt;F136),"超额!先收款再供货",""),""))</f>
        <v/>
      </c>
    </row>
    <row r="137" customFormat="false" ht="15" hidden="false" customHeight="false" outlineLevel="0" collapsed="false">
      <c r="A137" s="10" t="str">
        <f aca="false">IF(客户档案!B137="","",客户档案!B137)</f>
        <v/>
      </c>
      <c r="B137" s="14"/>
      <c r="C137" s="11" t="str">
        <f aca="false">IF(A137="","",SUMIF(送货回执登记!$C$2:$C$500,A137,送货回执登记!$D$2:$D$500))</f>
        <v/>
      </c>
      <c r="D137" s="11" t="str">
        <f aca="false">IF(A137="","",SUMIF(收款记录!$B$2:$B$500,A137,收款记录!$C$2:$C$500))</f>
        <v/>
      </c>
      <c r="E137" s="11" t="str">
        <f aca="false">IF(A137="","",N(B137)+C137-D137)</f>
        <v/>
      </c>
      <c r="F137" s="11" t="str">
        <f aca="false">IF(A137="","",IFERROR(INDEX(客户档案!$K$2:$K$300,MATCH(A137,客户档案!$B$2:$B$300,0)),""))</f>
        <v/>
      </c>
      <c r="G137" s="10" t="str">
        <f aca="false">IF(A137="","",IF(ISNUMBER(F137),IF(AND(F137&gt;0,E137&gt;F137),"超额!先收款再供货",""),""))</f>
        <v/>
      </c>
    </row>
    <row r="138" customFormat="false" ht="15" hidden="false" customHeight="false" outlineLevel="0" collapsed="false">
      <c r="A138" s="10" t="str">
        <f aca="false">IF(客户档案!B138="","",客户档案!B138)</f>
        <v/>
      </c>
      <c r="B138" s="14"/>
      <c r="C138" s="11" t="str">
        <f aca="false">IF(A138="","",SUMIF(送货回执登记!$C$2:$C$500,A138,送货回执登记!$D$2:$D$500))</f>
        <v/>
      </c>
      <c r="D138" s="11" t="str">
        <f aca="false">IF(A138="","",SUMIF(收款记录!$B$2:$B$500,A138,收款记录!$C$2:$C$500))</f>
        <v/>
      </c>
      <c r="E138" s="11" t="str">
        <f aca="false">IF(A138="","",N(B138)+C138-D138)</f>
        <v/>
      </c>
      <c r="F138" s="11" t="str">
        <f aca="false">IF(A138="","",IFERROR(INDEX(客户档案!$K$2:$K$300,MATCH(A138,客户档案!$B$2:$B$300,0)),""))</f>
        <v/>
      </c>
      <c r="G138" s="10" t="str">
        <f aca="false">IF(A138="","",IF(ISNUMBER(F138),IF(AND(F138&gt;0,E138&gt;F138),"超额!先收款再供货",""),""))</f>
        <v/>
      </c>
    </row>
    <row r="139" customFormat="false" ht="15" hidden="false" customHeight="false" outlineLevel="0" collapsed="false">
      <c r="A139" s="10" t="str">
        <f aca="false">IF(客户档案!B139="","",客户档案!B139)</f>
        <v/>
      </c>
      <c r="B139" s="14"/>
      <c r="C139" s="11" t="str">
        <f aca="false">IF(A139="","",SUMIF(送货回执登记!$C$2:$C$500,A139,送货回执登记!$D$2:$D$500))</f>
        <v/>
      </c>
      <c r="D139" s="11" t="str">
        <f aca="false">IF(A139="","",SUMIF(收款记录!$B$2:$B$500,A139,收款记录!$C$2:$C$500))</f>
        <v/>
      </c>
      <c r="E139" s="11" t="str">
        <f aca="false">IF(A139="","",N(B139)+C139-D139)</f>
        <v/>
      </c>
      <c r="F139" s="11" t="str">
        <f aca="false">IF(A139="","",IFERROR(INDEX(客户档案!$K$2:$K$300,MATCH(A139,客户档案!$B$2:$B$300,0)),""))</f>
        <v/>
      </c>
      <c r="G139" s="10" t="str">
        <f aca="false">IF(A139="","",IF(ISNUMBER(F139),IF(AND(F139&gt;0,E139&gt;F139),"超额!先收款再供货",""),""))</f>
        <v/>
      </c>
    </row>
    <row r="140" customFormat="false" ht="15" hidden="false" customHeight="false" outlineLevel="0" collapsed="false">
      <c r="A140" s="10" t="str">
        <f aca="false">IF(客户档案!B140="","",客户档案!B140)</f>
        <v/>
      </c>
      <c r="B140" s="14"/>
      <c r="C140" s="11" t="str">
        <f aca="false">IF(A140="","",SUMIF(送货回执登记!$C$2:$C$500,A140,送货回执登记!$D$2:$D$500))</f>
        <v/>
      </c>
      <c r="D140" s="11" t="str">
        <f aca="false">IF(A140="","",SUMIF(收款记录!$B$2:$B$500,A140,收款记录!$C$2:$C$500))</f>
        <v/>
      </c>
      <c r="E140" s="11" t="str">
        <f aca="false">IF(A140="","",N(B140)+C140-D140)</f>
        <v/>
      </c>
      <c r="F140" s="11" t="str">
        <f aca="false">IF(A140="","",IFERROR(INDEX(客户档案!$K$2:$K$300,MATCH(A140,客户档案!$B$2:$B$300,0)),""))</f>
        <v/>
      </c>
      <c r="G140" s="10" t="str">
        <f aca="false">IF(A140="","",IF(ISNUMBER(F140),IF(AND(F140&gt;0,E140&gt;F140),"超额!先收款再供货",""),""))</f>
        <v/>
      </c>
    </row>
    <row r="141" customFormat="false" ht="15" hidden="false" customHeight="false" outlineLevel="0" collapsed="false">
      <c r="A141" s="10" t="str">
        <f aca="false">IF(客户档案!B141="","",客户档案!B141)</f>
        <v/>
      </c>
      <c r="B141" s="14"/>
      <c r="C141" s="11" t="str">
        <f aca="false">IF(A141="","",SUMIF(送货回执登记!$C$2:$C$500,A141,送货回执登记!$D$2:$D$500))</f>
        <v/>
      </c>
      <c r="D141" s="11" t="str">
        <f aca="false">IF(A141="","",SUMIF(收款记录!$B$2:$B$500,A141,收款记录!$C$2:$C$500))</f>
        <v/>
      </c>
      <c r="E141" s="11" t="str">
        <f aca="false">IF(A141="","",N(B141)+C141-D141)</f>
        <v/>
      </c>
      <c r="F141" s="11" t="str">
        <f aca="false">IF(A141="","",IFERROR(INDEX(客户档案!$K$2:$K$300,MATCH(A141,客户档案!$B$2:$B$300,0)),""))</f>
        <v/>
      </c>
      <c r="G141" s="10" t="str">
        <f aca="false">IF(A141="","",IF(ISNUMBER(F141),IF(AND(F141&gt;0,E141&gt;F141),"超额!先收款再供货",""),""))</f>
        <v/>
      </c>
    </row>
    <row r="142" customFormat="false" ht="15" hidden="false" customHeight="false" outlineLevel="0" collapsed="false">
      <c r="A142" s="10" t="str">
        <f aca="false">IF(客户档案!B142="","",客户档案!B142)</f>
        <v/>
      </c>
      <c r="B142" s="14"/>
      <c r="C142" s="11" t="str">
        <f aca="false">IF(A142="","",SUMIF(送货回执登记!$C$2:$C$500,A142,送货回执登记!$D$2:$D$500))</f>
        <v/>
      </c>
      <c r="D142" s="11" t="str">
        <f aca="false">IF(A142="","",SUMIF(收款记录!$B$2:$B$500,A142,收款记录!$C$2:$C$500))</f>
        <v/>
      </c>
      <c r="E142" s="11" t="str">
        <f aca="false">IF(A142="","",N(B142)+C142-D142)</f>
        <v/>
      </c>
      <c r="F142" s="11" t="str">
        <f aca="false">IF(A142="","",IFERROR(INDEX(客户档案!$K$2:$K$300,MATCH(A142,客户档案!$B$2:$B$300,0)),""))</f>
        <v/>
      </c>
      <c r="G142" s="10" t="str">
        <f aca="false">IF(A142="","",IF(ISNUMBER(F142),IF(AND(F142&gt;0,E142&gt;F142),"超额!先收款再供货",""),""))</f>
        <v/>
      </c>
    </row>
    <row r="143" customFormat="false" ht="15" hidden="false" customHeight="false" outlineLevel="0" collapsed="false">
      <c r="A143" s="10" t="str">
        <f aca="false">IF(客户档案!B143="","",客户档案!B143)</f>
        <v/>
      </c>
      <c r="B143" s="14"/>
      <c r="C143" s="11" t="str">
        <f aca="false">IF(A143="","",SUMIF(送货回执登记!$C$2:$C$500,A143,送货回执登记!$D$2:$D$500))</f>
        <v/>
      </c>
      <c r="D143" s="11" t="str">
        <f aca="false">IF(A143="","",SUMIF(收款记录!$B$2:$B$500,A143,收款记录!$C$2:$C$500))</f>
        <v/>
      </c>
      <c r="E143" s="11" t="str">
        <f aca="false">IF(A143="","",N(B143)+C143-D143)</f>
        <v/>
      </c>
      <c r="F143" s="11" t="str">
        <f aca="false">IF(A143="","",IFERROR(INDEX(客户档案!$K$2:$K$300,MATCH(A143,客户档案!$B$2:$B$300,0)),""))</f>
        <v/>
      </c>
      <c r="G143" s="10" t="str">
        <f aca="false">IF(A143="","",IF(ISNUMBER(F143),IF(AND(F143&gt;0,E143&gt;F143),"超额!先收款再供货",""),""))</f>
        <v/>
      </c>
    </row>
    <row r="144" customFormat="false" ht="15" hidden="false" customHeight="false" outlineLevel="0" collapsed="false">
      <c r="A144" s="10" t="str">
        <f aca="false">IF(客户档案!B144="","",客户档案!B144)</f>
        <v/>
      </c>
      <c r="B144" s="14"/>
      <c r="C144" s="11" t="str">
        <f aca="false">IF(A144="","",SUMIF(送货回执登记!$C$2:$C$500,A144,送货回执登记!$D$2:$D$500))</f>
        <v/>
      </c>
      <c r="D144" s="11" t="str">
        <f aca="false">IF(A144="","",SUMIF(收款记录!$B$2:$B$500,A144,收款记录!$C$2:$C$500))</f>
        <v/>
      </c>
      <c r="E144" s="11" t="str">
        <f aca="false">IF(A144="","",N(B144)+C144-D144)</f>
        <v/>
      </c>
      <c r="F144" s="11" t="str">
        <f aca="false">IF(A144="","",IFERROR(INDEX(客户档案!$K$2:$K$300,MATCH(A144,客户档案!$B$2:$B$300,0)),""))</f>
        <v/>
      </c>
      <c r="G144" s="10" t="str">
        <f aca="false">IF(A144="","",IF(ISNUMBER(F144),IF(AND(F144&gt;0,E144&gt;F144),"超额!先收款再供货",""),""))</f>
        <v/>
      </c>
    </row>
    <row r="145" customFormat="false" ht="15" hidden="false" customHeight="false" outlineLevel="0" collapsed="false">
      <c r="A145" s="10" t="str">
        <f aca="false">IF(客户档案!B145="","",客户档案!B145)</f>
        <v/>
      </c>
      <c r="B145" s="14"/>
      <c r="C145" s="11" t="str">
        <f aca="false">IF(A145="","",SUMIF(送货回执登记!$C$2:$C$500,A145,送货回执登记!$D$2:$D$500))</f>
        <v/>
      </c>
      <c r="D145" s="11" t="str">
        <f aca="false">IF(A145="","",SUMIF(收款记录!$B$2:$B$500,A145,收款记录!$C$2:$C$500))</f>
        <v/>
      </c>
      <c r="E145" s="11" t="str">
        <f aca="false">IF(A145="","",N(B145)+C145-D145)</f>
        <v/>
      </c>
      <c r="F145" s="11" t="str">
        <f aca="false">IF(A145="","",IFERROR(INDEX(客户档案!$K$2:$K$300,MATCH(A145,客户档案!$B$2:$B$300,0)),""))</f>
        <v/>
      </c>
      <c r="G145" s="10" t="str">
        <f aca="false">IF(A145="","",IF(ISNUMBER(F145),IF(AND(F145&gt;0,E145&gt;F145),"超额!先收款再供货",""),""))</f>
        <v/>
      </c>
    </row>
    <row r="146" customFormat="false" ht="15" hidden="false" customHeight="false" outlineLevel="0" collapsed="false">
      <c r="A146" s="10" t="str">
        <f aca="false">IF(客户档案!B146="","",客户档案!B146)</f>
        <v/>
      </c>
      <c r="B146" s="14"/>
      <c r="C146" s="11" t="str">
        <f aca="false">IF(A146="","",SUMIF(送货回执登记!$C$2:$C$500,A146,送货回执登记!$D$2:$D$500))</f>
        <v/>
      </c>
      <c r="D146" s="11" t="str">
        <f aca="false">IF(A146="","",SUMIF(收款记录!$B$2:$B$500,A146,收款记录!$C$2:$C$500))</f>
        <v/>
      </c>
      <c r="E146" s="11" t="str">
        <f aca="false">IF(A146="","",N(B146)+C146-D146)</f>
        <v/>
      </c>
      <c r="F146" s="11" t="str">
        <f aca="false">IF(A146="","",IFERROR(INDEX(客户档案!$K$2:$K$300,MATCH(A146,客户档案!$B$2:$B$300,0)),""))</f>
        <v/>
      </c>
      <c r="G146" s="10" t="str">
        <f aca="false">IF(A146="","",IF(ISNUMBER(F146),IF(AND(F146&gt;0,E146&gt;F146),"超额!先收款再供货",""),""))</f>
        <v/>
      </c>
    </row>
    <row r="147" customFormat="false" ht="15" hidden="false" customHeight="false" outlineLevel="0" collapsed="false">
      <c r="A147" s="10" t="str">
        <f aca="false">IF(客户档案!B147="","",客户档案!B147)</f>
        <v/>
      </c>
      <c r="B147" s="14"/>
      <c r="C147" s="11" t="str">
        <f aca="false">IF(A147="","",SUMIF(送货回执登记!$C$2:$C$500,A147,送货回执登记!$D$2:$D$500))</f>
        <v/>
      </c>
      <c r="D147" s="11" t="str">
        <f aca="false">IF(A147="","",SUMIF(收款记录!$B$2:$B$500,A147,收款记录!$C$2:$C$500))</f>
        <v/>
      </c>
      <c r="E147" s="11" t="str">
        <f aca="false">IF(A147="","",N(B147)+C147-D147)</f>
        <v/>
      </c>
      <c r="F147" s="11" t="str">
        <f aca="false">IF(A147="","",IFERROR(INDEX(客户档案!$K$2:$K$300,MATCH(A147,客户档案!$B$2:$B$300,0)),""))</f>
        <v/>
      </c>
      <c r="G147" s="10" t="str">
        <f aca="false">IF(A147="","",IF(ISNUMBER(F147),IF(AND(F147&gt;0,E147&gt;F147),"超额!先收款再供货",""),""))</f>
        <v/>
      </c>
    </row>
    <row r="148" customFormat="false" ht="15" hidden="false" customHeight="false" outlineLevel="0" collapsed="false">
      <c r="A148" s="10" t="str">
        <f aca="false">IF(客户档案!B148="","",客户档案!B148)</f>
        <v/>
      </c>
      <c r="B148" s="14"/>
      <c r="C148" s="11" t="str">
        <f aca="false">IF(A148="","",SUMIF(送货回执登记!$C$2:$C$500,A148,送货回执登记!$D$2:$D$500))</f>
        <v/>
      </c>
      <c r="D148" s="11" t="str">
        <f aca="false">IF(A148="","",SUMIF(收款记录!$B$2:$B$500,A148,收款记录!$C$2:$C$500))</f>
        <v/>
      </c>
      <c r="E148" s="11" t="str">
        <f aca="false">IF(A148="","",N(B148)+C148-D148)</f>
        <v/>
      </c>
      <c r="F148" s="11" t="str">
        <f aca="false">IF(A148="","",IFERROR(INDEX(客户档案!$K$2:$K$300,MATCH(A148,客户档案!$B$2:$B$300,0)),""))</f>
        <v/>
      </c>
      <c r="G148" s="10" t="str">
        <f aca="false">IF(A148="","",IF(ISNUMBER(F148),IF(AND(F148&gt;0,E148&gt;F148),"超额!先收款再供货",""),""))</f>
        <v/>
      </c>
    </row>
    <row r="149" customFormat="false" ht="15" hidden="false" customHeight="false" outlineLevel="0" collapsed="false">
      <c r="A149" s="10" t="str">
        <f aca="false">IF(客户档案!B149="","",客户档案!B149)</f>
        <v/>
      </c>
      <c r="B149" s="14"/>
      <c r="C149" s="11" t="str">
        <f aca="false">IF(A149="","",SUMIF(送货回执登记!$C$2:$C$500,A149,送货回执登记!$D$2:$D$500))</f>
        <v/>
      </c>
      <c r="D149" s="11" t="str">
        <f aca="false">IF(A149="","",SUMIF(收款记录!$B$2:$B$500,A149,收款记录!$C$2:$C$500))</f>
        <v/>
      </c>
      <c r="E149" s="11" t="str">
        <f aca="false">IF(A149="","",N(B149)+C149-D149)</f>
        <v/>
      </c>
      <c r="F149" s="11" t="str">
        <f aca="false">IF(A149="","",IFERROR(INDEX(客户档案!$K$2:$K$300,MATCH(A149,客户档案!$B$2:$B$300,0)),""))</f>
        <v/>
      </c>
      <c r="G149" s="10" t="str">
        <f aca="false">IF(A149="","",IF(ISNUMBER(F149),IF(AND(F149&gt;0,E149&gt;F149),"超额!先收款再供货",""),""))</f>
        <v/>
      </c>
    </row>
    <row r="150" customFormat="false" ht="15" hidden="false" customHeight="false" outlineLevel="0" collapsed="false">
      <c r="A150" s="10" t="str">
        <f aca="false">IF(客户档案!B150="","",客户档案!B150)</f>
        <v/>
      </c>
      <c r="B150" s="14"/>
      <c r="C150" s="11" t="str">
        <f aca="false">IF(A150="","",SUMIF(送货回执登记!$C$2:$C$500,A150,送货回执登记!$D$2:$D$500))</f>
        <v/>
      </c>
      <c r="D150" s="11" t="str">
        <f aca="false">IF(A150="","",SUMIF(收款记录!$B$2:$B$500,A150,收款记录!$C$2:$C$500))</f>
        <v/>
      </c>
      <c r="E150" s="11" t="str">
        <f aca="false">IF(A150="","",N(B150)+C150-D150)</f>
        <v/>
      </c>
      <c r="F150" s="11" t="str">
        <f aca="false">IF(A150="","",IFERROR(INDEX(客户档案!$K$2:$K$300,MATCH(A150,客户档案!$B$2:$B$300,0)),""))</f>
        <v/>
      </c>
      <c r="G150" s="10" t="str">
        <f aca="false">IF(A150="","",IF(ISNUMBER(F150),IF(AND(F150&gt;0,E150&gt;F150),"超额!先收款再供货",""),""))</f>
        <v/>
      </c>
    </row>
    <row r="151" customFormat="false" ht="15" hidden="false" customHeight="false" outlineLevel="0" collapsed="false">
      <c r="A151" s="10" t="str">
        <f aca="false">IF(客户档案!B151="","",客户档案!B151)</f>
        <v/>
      </c>
      <c r="B151" s="14"/>
      <c r="C151" s="11" t="str">
        <f aca="false">IF(A151="","",SUMIF(送货回执登记!$C$2:$C$500,A151,送货回执登记!$D$2:$D$500))</f>
        <v/>
      </c>
      <c r="D151" s="11" t="str">
        <f aca="false">IF(A151="","",SUMIF(收款记录!$B$2:$B$500,A151,收款记录!$C$2:$C$500))</f>
        <v/>
      </c>
      <c r="E151" s="11" t="str">
        <f aca="false">IF(A151="","",N(B151)+C151-D151)</f>
        <v/>
      </c>
      <c r="F151" s="11" t="str">
        <f aca="false">IF(A151="","",IFERROR(INDEX(客户档案!$K$2:$K$300,MATCH(A151,客户档案!$B$2:$B$300,0)),""))</f>
        <v/>
      </c>
      <c r="G151" s="10" t="str">
        <f aca="false">IF(A151="","",IF(ISNUMBER(F151),IF(AND(F151&gt;0,E151&gt;F151),"超额!先收款再供货",""),""))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2"/>
  </cols>
  <sheetData>
    <row r="1" customFormat="false" ht="25.5" hidden="false" customHeight="true" outlineLevel="0" collapsed="false">
      <c r="A1" s="6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6" t="s">
        <v>138</v>
      </c>
      <c r="I1" s="6" t="s">
        <v>139</v>
      </c>
    </row>
    <row r="2" customFormat="false" ht="15" hidden="false" customHeight="false" outlineLevel="0" collapsed="false">
      <c r="A2" s="10" t="str">
        <f aca="false">IF(商品目录!B2="","",商品目录!B2)</f>
        <v>黄豆酱油</v>
      </c>
      <c r="B2" s="10" t="str">
        <f aca="false">IF(A2="","",商品目录!C2)</f>
        <v>10L/桶</v>
      </c>
      <c r="C2" s="10" t="str">
        <f aca="false">IF(A2="","",商品目录!D2)</f>
        <v>桶</v>
      </c>
      <c r="D2" s="8" t="n">
        <v>5</v>
      </c>
      <c r="E2" s="10" t="n">
        <f aca="false">IF(A2="","",SUMIFS(采购记录!$D$2:$D$500,采购记录!$B$2:$B$500,A2,采购记录!$C$2:$C$500,B2))</f>
        <v>4</v>
      </c>
      <c r="F2" s="10" t="n">
        <f aca="false">IF(A2="","",SUMIFS(订单登记!$F$2:$F$500,订单登记!$D$2:$D$500,A2,订单登记!$E$2:$E$500,B2))</f>
        <v>2</v>
      </c>
      <c r="G2" s="10" t="n">
        <f aca="false">IF(A2="","",N(D2)+E2-F2)</f>
        <v>7</v>
      </c>
      <c r="H2" s="10" t="n">
        <f aca="false">IF(A2="","",商品目录!I2)</f>
        <v>10</v>
      </c>
      <c r="I2" s="10" t="str">
        <f aca="false">IF(A2="","",IF(ISNUMBER(H2),IF(G2&lt;H2,"该补货",""),""))</f>
        <v>该补货</v>
      </c>
    </row>
    <row r="3" customFormat="false" ht="15" hidden="false" customHeight="false" outlineLevel="0" collapsed="false">
      <c r="A3" s="10" t="str">
        <f aca="false">IF(商品目录!B3="","",商品目录!B3)</f>
        <v>老陈醋</v>
      </c>
      <c r="B3" s="10" t="str">
        <f aca="false">IF(A3="","",商品目录!C3)</f>
        <v>420ml×15瓶/件</v>
      </c>
      <c r="C3" s="10" t="str">
        <f aca="false">IF(A3="","",商品目录!D3)</f>
        <v>件</v>
      </c>
      <c r="D3" s="8" t="n">
        <v>3</v>
      </c>
      <c r="E3" s="10" t="n">
        <f aca="false">IF(A3="","",SUMIFS(采购记录!$D$2:$D$500,采购记录!$B$2:$B$500,A3,采购记录!$C$2:$C$500,B3))</f>
        <v>0</v>
      </c>
      <c r="F3" s="10" t="n">
        <f aca="false">IF(A3="","",SUMIFS(订单登记!$F$2:$F$500,订单登记!$D$2:$D$500,A3,订单登记!$E$2:$E$500,B3))</f>
        <v>1</v>
      </c>
      <c r="G3" s="10" t="n">
        <f aca="false">IF(A3="","",N(D3)+E3-F3)</f>
        <v>2</v>
      </c>
      <c r="H3" s="10" t="n">
        <f aca="false">IF(A3="","",商品目录!I3)</f>
        <v>8</v>
      </c>
      <c r="I3" s="10" t="str">
        <f aca="false">IF(A3="","",IF(ISNUMBER(H3),IF(G3&lt;H3,"该补货",""),""))</f>
        <v>该补货</v>
      </c>
    </row>
    <row r="4" customFormat="false" ht="15" hidden="false" customHeight="false" outlineLevel="0" collapsed="false">
      <c r="A4" s="10" t="str">
        <f aca="false">IF(商品目录!B4="","",商品目录!B4)</f>
        <v>花椒</v>
      </c>
      <c r="B4" s="10" t="str">
        <f aca="false">IF(A4="","",商品目录!C4)</f>
        <v>500g/袋</v>
      </c>
      <c r="C4" s="10" t="str">
        <f aca="false">IF(A4="","",商品目录!D4)</f>
        <v>袋</v>
      </c>
      <c r="D4" s="8" t="n">
        <v>2</v>
      </c>
      <c r="E4" s="10" t="n">
        <f aca="false">IF(A4="","",SUMIFS(采购记录!$D$2:$D$500,采购记录!$B$2:$B$500,A4,采购记录!$C$2:$C$500,B4))</f>
        <v>0</v>
      </c>
      <c r="F4" s="10" t="n">
        <f aca="false">IF(A4="","",SUMIFS(订单登记!$F$2:$F$500,订单登记!$D$2:$D$500,A4,订单登记!$E$2:$E$500,B4))</f>
        <v>0</v>
      </c>
      <c r="G4" s="10" t="n">
        <f aca="false">IF(A4="","",N(D4)+E4-F4)</f>
        <v>2</v>
      </c>
      <c r="H4" s="10" t="n">
        <f aca="false">IF(A4="","",商品目录!I4)</f>
        <v>5</v>
      </c>
      <c r="I4" s="10" t="str">
        <f aca="false">IF(A4="","",IF(ISNUMBER(H4),IF(G4&lt;H4,"该补货",""),""))</f>
        <v>该补货</v>
      </c>
    </row>
    <row r="5" customFormat="false" ht="15" hidden="false" customHeight="false" outlineLevel="0" collapsed="false">
      <c r="A5" s="10" t="str">
        <f aca="false">IF(商品目录!B5="","",商品目录!B5)</f>
        <v>大豆油</v>
      </c>
      <c r="B5" s="10" t="str">
        <f aca="false">IF(A5="","",商品目录!C5)</f>
        <v>20L/桶</v>
      </c>
      <c r="C5" s="10" t="str">
        <f aca="false">IF(A5="","",商品目录!D5)</f>
        <v>桶</v>
      </c>
      <c r="D5" s="8" t="n">
        <v>2</v>
      </c>
      <c r="E5" s="10" t="n">
        <f aca="false">IF(A5="","",SUMIFS(采购记录!$D$2:$D$500,采购记录!$B$2:$B$500,A5,采购记录!$C$2:$C$500,B5))</f>
        <v>3</v>
      </c>
      <c r="F5" s="10" t="n">
        <f aca="false">IF(A5="","",SUMIFS(订单登记!$F$2:$F$500,订单登记!$D$2:$D$500,A5,订单登记!$E$2:$E$500,B5))</f>
        <v>3</v>
      </c>
      <c r="G5" s="10" t="n">
        <f aca="false">IF(A5="","",N(D5)+E5-F5)</f>
        <v>2</v>
      </c>
      <c r="H5" s="10" t="n">
        <f aca="false">IF(A5="","",商品目录!I5)</f>
        <v>6</v>
      </c>
      <c r="I5" s="10" t="str">
        <f aca="false">IF(A5="","",IF(ISNUMBER(H5),IF(G5&lt;H5,"该补货",""),""))</f>
        <v>该补货</v>
      </c>
    </row>
    <row r="6" customFormat="false" ht="15" hidden="false" customHeight="false" outlineLevel="0" collapsed="false">
      <c r="A6" s="10" t="str">
        <f aca="false">IF(商品目录!B6="","",商品目录!B6)</f>
        <v>高筋面粉</v>
      </c>
      <c r="B6" s="10" t="str">
        <f aca="false">IF(A6="","",商品目录!C6)</f>
        <v>25kg/袋</v>
      </c>
      <c r="C6" s="10" t="str">
        <f aca="false">IF(A6="","",商品目录!D6)</f>
        <v>袋</v>
      </c>
      <c r="D6" s="8" t="n">
        <v>4</v>
      </c>
      <c r="E6" s="10" t="n">
        <f aca="false">IF(A6="","",SUMIFS(采购记录!$D$2:$D$500,采购记录!$B$2:$B$500,A6,采购记录!$C$2:$C$500,B6))</f>
        <v>0</v>
      </c>
      <c r="F6" s="10" t="n">
        <f aca="false">IF(A6="","",SUMIFS(订单登记!$F$2:$F$500,订单登记!$D$2:$D$500,A6,订单登记!$E$2:$E$500,B6))</f>
        <v>0</v>
      </c>
      <c r="G6" s="10" t="n">
        <f aca="false">IF(A6="","",N(D6)+E6-F6)</f>
        <v>4</v>
      </c>
      <c r="H6" s="10" t="n">
        <f aca="false">IF(A6="","",商品目录!I6)</f>
        <v>10</v>
      </c>
      <c r="I6" s="10" t="str">
        <f aca="false">IF(A6="","",IF(ISNUMBER(H6),IF(G6&lt;H6,"该补货",""),""))</f>
        <v>该补货</v>
      </c>
    </row>
    <row r="7" customFormat="false" ht="15" hidden="false" customHeight="false" outlineLevel="0" collapsed="false">
      <c r="A7" s="10" t="str">
        <f aca="false">IF(商品目录!B7="","",商品目录!B7)</f>
        <v/>
      </c>
      <c r="B7" s="10" t="str">
        <f aca="false">IF(A7="","",商品目录!C7)</f>
        <v/>
      </c>
      <c r="C7" s="10" t="str">
        <f aca="false">IF(A7="","",商品目录!D7)</f>
        <v/>
      </c>
      <c r="D7" s="15"/>
      <c r="E7" s="10" t="str">
        <f aca="false">IF(A7="","",SUMIFS(采购记录!$D$2:$D$500,采购记录!$B$2:$B$500,A7,采购记录!$C$2:$C$500,B7))</f>
        <v/>
      </c>
      <c r="F7" s="10" t="str">
        <f aca="false">IF(A7="","",SUMIFS(订单登记!$F$2:$F$500,订单登记!$D$2:$D$500,A7,订单登记!$E$2:$E$500,B7))</f>
        <v/>
      </c>
      <c r="G7" s="10" t="str">
        <f aca="false">IF(A7="","",N(D7)+E7-F7)</f>
        <v/>
      </c>
      <c r="H7" s="10" t="str">
        <f aca="false">IF(A7="","",商品目录!I7)</f>
        <v/>
      </c>
      <c r="I7" s="10" t="str">
        <f aca="false">IF(A7="","",IF(ISNUMBER(H7),IF(G7&lt;H7,"该补货",""),""))</f>
        <v/>
      </c>
    </row>
    <row r="8" customFormat="false" ht="15" hidden="false" customHeight="false" outlineLevel="0" collapsed="false">
      <c r="A8" s="10" t="str">
        <f aca="false">IF(商品目录!B8="","",商品目录!B8)</f>
        <v/>
      </c>
      <c r="B8" s="10" t="str">
        <f aca="false">IF(A8="","",商品目录!C8)</f>
        <v/>
      </c>
      <c r="C8" s="10" t="str">
        <f aca="false">IF(A8="","",商品目录!D8)</f>
        <v/>
      </c>
      <c r="D8" s="15"/>
      <c r="E8" s="10" t="str">
        <f aca="false">IF(A8="","",SUMIFS(采购记录!$D$2:$D$500,采购记录!$B$2:$B$500,A8,采购记录!$C$2:$C$500,B8))</f>
        <v/>
      </c>
      <c r="F8" s="10" t="str">
        <f aca="false">IF(A8="","",SUMIFS(订单登记!$F$2:$F$500,订单登记!$D$2:$D$500,A8,订单登记!$E$2:$E$500,B8))</f>
        <v/>
      </c>
      <c r="G8" s="10" t="str">
        <f aca="false">IF(A8="","",N(D8)+E8-F8)</f>
        <v/>
      </c>
      <c r="H8" s="10" t="str">
        <f aca="false">IF(A8="","",商品目录!I8)</f>
        <v/>
      </c>
      <c r="I8" s="10" t="str">
        <f aca="false">IF(A8="","",IF(ISNUMBER(H8),IF(G8&lt;H8,"该补货",""),""))</f>
        <v/>
      </c>
    </row>
    <row r="9" customFormat="false" ht="15" hidden="false" customHeight="false" outlineLevel="0" collapsed="false">
      <c r="A9" s="10" t="str">
        <f aca="false">IF(商品目录!B9="","",商品目录!B9)</f>
        <v/>
      </c>
      <c r="B9" s="10" t="str">
        <f aca="false">IF(A9="","",商品目录!C9)</f>
        <v/>
      </c>
      <c r="C9" s="10" t="str">
        <f aca="false">IF(A9="","",商品目录!D9)</f>
        <v/>
      </c>
      <c r="D9" s="15"/>
      <c r="E9" s="10" t="str">
        <f aca="false">IF(A9="","",SUMIFS(采购记录!$D$2:$D$500,采购记录!$B$2:$B$500,A9,采购记录!$C$2:$C$500,B9))</f>
        <v/>
      </c>
      <c r="F9" s="10" t="str">
        <f aca="false">IF(A9="","",SUMIFS(订单登记!$F$2:$F$500,订单登记!$D$2:$D$500,A9,订单登记!$E$2:$E$500,B9))</f>
        <v/>
      </c>
      <c r="G9" s="10" t="str">
        <f aca="false">IF(A9="","",N(D9)+E9-F9)</f>
        <v/>
      </c>
      <c r="H9" s="10" t="str">
        <f aca="false">IF(A9="","",商品目录!I9)</f>
        <v/>
      </c>
      <c r="I9" s="10" t="str">
        <f aca="false">IF(A9="","",IF(ISNUMBER(H9),IF(G9&lt;H9,"该补货",""),""))</f>
        <v/>
      </c>
    </row>
    <row r="10" customFormat="false" ht="15" hidden="false" customHeight="false" outlineLevel="0" collapsed="false">
      <c r="A10" s="10" t="str">
        <f aca="false">IF(商品目录!B10="","",商品目录!B10)</f>
        <v/>
      </c>
      <c r="B10" s="10" t="str">
        <f aca="false">IF(A10="","",商品目录!C10)</f>
        <v/>
      </c>
      <c r="C10" s="10" t="str">
        <f aca="false">IF(A10="","",商品目录!D10)</f>
        <v/>
      </c>
      <c r="D10" s="15"/>
      <c r="E10" s="10" t="str">
        <f aca="false">IF(A10="","",SUMIFS(采购记录!$D$2:$D$500,采购记录!$B$2:$B$500,A10,采购记录!$C$2:$C$500,B10))</f>
        <v/>
      </c>
      <c r="F10" s="10" t="str">
        <f aca="false">IF(A10="","",SUMIFS(订单登记!$F$2:$F$500,订单登记!$D$2:$D$500,A10,订单登记!$E$2:$E$500,B10))</f>
        <v/>
      </c>
      <c r="G10" s="10" t="str">
        <f aca="false">IF(A10="","",N(D10)+E10-F10)</f>
        <v/>
      </c>
      <c r="H10" s="10" t="str">
        <f aca="false">IF(A10="","",商品目录!I10)</f>
        <v/>
      </c>
      <c r="I10" s="10" t="str">
        <f aca="false">IF(A10="","",IF(ISNUMBER(H10),IF(G10&lt;H10,"该补货",""),""))</f>
        <v/>
      </c>
    </row>
    <row r="11" customFormat="false" ht="15" hidden="false" customHeight="false" outlineLevel="0" collapsed="false">
      <c r="A11" s="10" t="str">
        <f aca="false">IF(商品目录!B11="","",商品目录!B11)</f>
        <v/>
      </c>
      <c r="B11" s="10" t="str">
        <f aca="false">IF(A11="","",商品目录!C11)</f>
        <v/>
      </c>
      <c r="C11" s="10" t="str">
        <f aca="false">IF(A11="","",商品目录!D11)</f>
        <v/>
      </c>
      <c r="D11" s="15"/>
      <c r="E11" s="10" t="str">
        <f aca="false">IF(A11="","",SUMIFS(采购记录!$D$2:$D$500,采购记录!$B$2:$B$500,A11,采购记录!$C$2:$C$500,B11))</f>
        <v/>
      </c>
      <c r="F11" s="10" t="str">
        <f aca="false">IF(A11="","",SUMIFS(订单登记!$F$2:$F$500,订单登记!$D$2:$D$500,A11,订单登记!$E$2:$E$500,B11))</f>
        <v/>
      </c>
      <c r="G11" s="10" t="str">
        <f aca="false">IF(A11="","",N(D11)+E11-F11)</f>
        <v/>
      </c>
      <c r="H11" s="10" t="str">
        <f aca="false">IF(A11="","",商品目录!I11)</f>
        <v/>
      </c>
      <c r="I11" s="10" t="str">
        <f aca="false">IF(A11="","",IF(ISNUMBER(H11),IF(G11&lt;H11,"该补货",""),""))</f>
        <v/>
      </c>
    </row>
    <row r="12" customFormat="false" ht="15" hidden="false" customHeight="false" outlineLevel="0" collapsed="false">
      <c r="A12" s="10" t="str">
        <f aca="false">IF(商品目录!B12="","",商品目录!B12)</f>
        <v/>
      </c>
      <c r="B12" s="10" t="str">
        <f aca="false">IF(A12="","",商品目录!C12)</f>
        <v/>
      </c>
      <c r="C12" s="10" t="str">
        <f aca="false">IF(A12="","",商品目录!D12)</f>
        <v/>
      </c>
      <c r="D12" s="15"/>
      <c r="E12" s="10" t="str">
        <f aca="false">IF(A12="","",SUMIFS(采购记录!$D$2:$D$500,采购记录!$B$2:$B$500,A12,采购记录!$C$2:$C$500,B12))</f>
        <v/>
      </c>
      <c r="F12" s="10" t="str">
        <f aca="false">IF(A12="","",SUMIFS(订单登记!$F$2:$F$500,订单登记!$D$2:$D$500,A12,订单登记!$E$2:$E$500,B12))</f>
        <v/>
      </c>
      <c r="G12" s="10" t="str">
        <f aca="false">IF(A12="","",N(D12)+E12-F12)</f>
        <v/>
      </c>
      <c r="H12" s="10" t="str">
        <f aca="false">IF(A12="","",商品目录!I12)</f>
        <v/>
      </c>
      <c r="I12" s="10" t="str">
        <f aca="false">IF(A12="","",IF(ISNUMBER(H12),IF(G12&lt;H12,"该补货",""),""))</f>
        <v/>
      </c>
    </row>
    <row r="13" customFormat="false" ht="15" hidden="false" customHeight="false" outlineLevel="0" collapsed="false">
      <c r="A13" s="10" t="str">
        <f aca="false">IF(商品目录!B13="","",商品目录!B13)</f>
        <v/>
      </c>
      <c r="B13" s="10" t="str">
        <f aca="false">IF(A13="","",商品目录!C13)</f>
        <v/>
      </c>
      <c r="C13" s="10" t="str">
        <f aca="false">IF(A13="","",商品目录!D13)</f>
        <v/>
      </c>
      <c r="D13" s="15"/>
      <c r="E13" s="10" t="str">
        <f aca="false">IF(A13="","",SUMIFS(采购记录!$D$2:$D$500,采购记录!$B$2:$B$500,A13,采购记录!$C$2:$C$500,B13))</f>
        <v/>
      </c>
      <c r="F13" s="10" t="str">
        <f aca="false">IF(A13="","",SUMIFS(订单登记!$F$2:$F$500,订单登记!$D$2:$D$500,A13,订单登记!$E$2:$E$500,B13))</f>
        <v/>
      </c>
      <c r="G13" s="10" t="str">
        <f aca="false">IF(A13="","",N(D13)+E13-F13)</f>
        <v/>
      </c>
      <c r="H13" s="10" t="str">
        <f aca="false">IF(A13="","",商品目录!I13)</f>
        <v/>
      </c>
      <c r="I13" s="10" t="str">
        <f aca="false">IF(A13="","",IF(ISNUMBER(H13),IF(G13&lt;H13,"该补货",""),""))</f>
        <v/>
      </c>
    </row>
    <row r="14" customFormat="false" ht="15" hidden="false" customHeight="false" outlineLevel="0" collapsed="false">
      <c r="A14" s="10" t="str">
        <f aca="false">IF(商品目录!B14="","",商品目录!B14)</f>
        <v/>
      </c>
      <c r="B14" s="10" t="str">
        <f aca="false">IF(A14="","",商品目录!C14)</f>
        <v/>
      </c>
      <c r="C14" s="10" t="str">
        <f aca="false">IF(A14="","",商品目录!D14)</f>
        <v/>
      </c>
      <c r="D14" s="15"/>
      <c r="E14" s="10" t="str">
        <f aca="false">IF(A14="","",SUMIFS(采购记录!$D$2:$D$500,采购记录!$B$2:$B$500,A14,采购记录!$C$2:$C$500,B14))</f>
        <v/>
      </c>
      <c r="F14" s="10" t="str">
        <f aca="false">IF(A14="","",SUMIFS(订单登记!$F$2:$F$500,订单登记!$D$2:$D$500,A14,订单登记!$E$2:$E$500,B14))</f>
        <v/>
      </c>
      <c r="G14" s="10" t="str">
        <f aca="false">IF(A14="","",N(D14)+E14-F14)</f>
        <v/>
      </c>
      <c r="H14" s="10" t="str">
        <f aca="false">IF(A14="","",商品目录!I14)</f>
        <v/>
      </c>
      <c r="I14" s="10" t="str">
        <f aca="false">IF(A14="","",IF(ISNUMBER(H14),IF(G14&lt;H14,"该补货",""),""))</f>
        <v/>
      </c>
    </row>
    <row r="15" customFormat="false" ht="15" hidden="false" customHeight="false" outlineLevel="0" collapsed="false">
      <c r="A15" s="10" t="str">
        <f aca="false">IF(商品目录!B15="","",商品目录!B15)</f>
        <v/>
      </c>
      <c r="B15" s="10" t="str">
        <f aca="false">IF(A15="","",商品目录!C15)</f>
        <v/>
      </c>
      <c r="C15" s="10" t="str">
        <f aca="false">IF(A15="","",商品目录!D15)</f>
        <v/>
      </c>
      <c r="D15" s="15"/>
      <c r="E15" s="10" t="str">
        <f aca="false">IF(A15="","",SUMIFS(采购记录!$D$2:$D$500,采购记录!$B$2:$B$500,A15,采购记录!$C$2:$C$500,B15))</f>
        <v/>
      </c>
      <c r="F15" s="10" t="str">
        <f aca="false">IF(A15="","",SUMIFS(订单登记!$F$2:$F$500,订单登记!$D$2:$D$500,A15,订单登记!$E$2:$E$500,B15))</f>
        <v/>
      </c>
      <c r="G15" s="10" t="str">
        <f aca="false">IF(A15="","",N(D15)+E15-F15)</f>
        <v/>
      </c>
      <c r="H15" s="10" t="str">
        <f aca="false">IF(A15="","",商品目录!I15)</f>
        <v/>
      </c>
      <c r="I15" s="10" t="str">
        <f aca="false">IF(A15="","",IF(ISNUMBER(H15),IF(G15&lt;H15,"该补货",""),""))</f>
        <v/>
      </c>
    </row>
    <row r="16" customFormat="false" ht="15" hidden="false" customHeight="false" outlineLevel="0" collapsed="false">
      <c r="A16" s="10" t="str">
        <f aca="false">IF(商品目录!B16="","",商品目录!B16)</f>
        <v/>
      </c>
      <c r="B16" s="10" t="str">
        <f aca="false">IF(A16="","",商品目录!C16)</f>
        <v/>
      </c>
      <c r="C16" s="10" t="str">
        <f aca="false">IF(A16="","",商品目录!D16)</f>
        <v/>
      </c>
      <c r="D16" s="15"/>
      <c r="E16" s="10" t="str">
        <f aca="false">IF(A16="","",SUMIFS(采购记录!$D$2:$D$500,采购记录!$B$2:$B$500,A16,采购记录!$C$2:$C$500,B16))</f>
        <v/>
      </c>
      <c r="F16" s="10" t="str">
        <f aca="false">IF(A16="","",SUMIFS(订单登记!$F$2:$F$500,订单登记!$D$2:$D$500,A16,订单登记!$E$2:$E$500,B16))</f>
        <v/>
      </c>
      <c r="G16" s="10" t="str">
        <f aca="false">IF(A16="","",N(D16)+E16-F16)</f>
        <v/>
      </c>
      <c r="H16" s="10" t="str">
        <f aca="false">IF(A16="","",商品目录!I16)</f>
        <v/>
      </c>
      <c r="I16" s="10" t="str">
        <f aca="false">IF(A16="","",IF(ISNUMBER(H16),IF(G16&lt;H16,"该补货",""),""))</f>
        <v/>
      </c>
    </row>
    <row r="17" customFormat="false" ht="15" hidden="false" customHeight="false" outlineLevel="0" collapsed="false">
      <c r="A17" s="10" t="str">
        <f aca="false">IF(商品目录!B17="","",商品目录!B17)</f>
        <v/>
      </c>
      <c r="B17" s="10" t="str">
        <f aca="false">IF(A17="","",商品目录!C17)</f>
        <v/>
      </c>
      <c r="C17" s="10" t="str">
        <f aca="false">IF(A17="","",商品目录!D17)</f>
        <v/>
      </c>
      <c r="D17" s="15"/>
      <c r="E17" s="10" t="str">
        <f aca="false">IF(A17="","",SUMIFS(采购记录!$D$2:$D$500,采购记录!$B$2:$B$500,A17,采购记录!$C$2:$C$500,B17))</f>
        <v/>
      </c>
      <c r="F17" s="10" t="str">
        <f aca="false">IF(A17="","",SUMIFS(订单登记!$F$2:$F$500,订单登记!$D$2:$D$500,A17,订单登记!$E$2:$E$500,B17))</f>
        <v/>
      </c>
      <c r="G17" s="10" t="str">
        <f aca="false">IF(A17="","",N(D17)+E17-F17)</f>
        <v/>
      </c>
      <c r="H17" s="10" t="str">
        <f aca="false">IF(A17="","",商品目录!I17)</f>
        <v/>
      </c>
      <c r="I17" s="10" t="str">
        <f aca="false">IF(A17="","",IF(ISNUMBER(H17),IF(G17&lt;H17,"该补货",""),""))</f>
        <v/>
      </c>
    </row>
    <row r="18" customFormat="false" ht="15" hidden="false" customHeight="false" outlineLevel="0" collapsed="false">
      <c r="A18" s="10" t="str">
        <f aca="false">IF(商品目录!B18="","",商品目录!B18)</f>
        <v/>
      </c>
      <c r="B18" s="10" t="str">
        <f aca="false">IF(A18="","",商品目录!C18)</f>
        <v/>
      </c>
      <c r="C18" s="10" t="str">
        <f aca="false">IF(A18="","",商品目录!D18)</f>
        <v/>
      </c>
      <c r="D18" s="15"/>
      <c r="E18" s="10" t="str">
        <f aca="false">IF(A18="","",SUMIFS(采购记录!$D$2:$D$500,采购记录!$B$2:$B$500,A18,采购记录!$C$2:$C$500,B18))</f>
        <v/>
      </c>
      <c r="F18" s="10" t="str">
        <f aca="false">IF(A18="","",SUMIFS(订单登记!$F$2:$F$500,订单登记!$D$2:$D$500,A18,订单登记!$E$2:$E$500,B18))</f>
        <v/>
      </c>
      <c r="G18" s="10" t="str">
        <f aca="false">IF(A18="","",N(D18)+E18-F18)</f>
        <v/>
      </c>
      <c r="H18" s="10" t="str">
        <f aca="false">IF(A18="","",商品目录!I18)</f>
        <v/>
      </c>
      <c r="I18" s="10" t="str">
        <f aca="false">IF(A18="","",IF(ISNUMBER(H18),IF(G18&lt;H18,"该补货",""),""))</f>
        <v/>
      </c>
    </row>
    <row r="19" customFormat="false" ht="15" hidden="false" customHeight="false" outlineLevel="0" collapsed="false">
      <c r="A19" s="10" t="str">
        <f aca="false">IF(商品目录!B19="","",商品目录!B19)</f>
        <v/>
      </c>
      <c r="B19" s="10" t="str">
        <f aca="false">IF(A19="","",商品目录!C19)</f>
        <v/>
      </c>
      <c r="C19" s="10" t="str">
        <f aca="false">IF(A19="","",商品目录!D19)</f>
        <v/>
      </c>
      <c r="D19" s="15"/>
      <c r="E19" s="10" t="str">
        <f aca="false">IF(A19="","",SUMIFS(采购记录!$D$2:$D$500,采购记录!$B$2:$B$500,A19,采购记录!$C$2:$C$500,B19))</f>
        <v/>
      </c>
      <c r="F19" s="10" t="str">
        <f aca="false">IF(A19="","",SUMIFS(订单登记!$F$2:$F$500,订单登记!$D$2:$D$500,A19,订单登记!$E$2:$E$500,B19))</f>
        <v/>
      </c>
      <c r="G19" s="10" t="str">
        <f aca="false">IF(A19="","",N(D19)+E19-F19)</f>
        <v/>
      </c>
      <c r="H19" s="10" t="str">
        <f aca="false">IF(A19="","",商品目录!I19)</f>
        <v/>
      </c>
      <c r="I19" s="10" t="str">
        <f aca="false">IF(A19="","",IF(ISNUMBER(H19),IF(G19&lt;H19,"该补货",""),""))</f>
        <v/>
      </c>
    </row>
    <row r="20" customFormat="false" ht="15" hidden="false" customHeight="false" outlineLevel="0" collapsed="false">
      <c r="A20" s="10" t="str">
        <f aca="false">IF(商品目录!B20="","",商品目录!B20)</f>
        <v/>
      </c>
      <c r="B20" s="10" t="str">
        <f aca="false">IF(A20="","",商品目录!C20)</f>
        <v/>
      </c>
      <c r="C20" s="10" t="str">
        <f aca="false">IF(A20="","",商品目录!D20)</f>
        <v/>
      </c>
      <c r="D20" s="15"/>
      <c r="E20" s="10" t="str">
        <f aca="false">IF(A20="","",SUMIFS(采购记录!$D$2:$D$500,采购记录!$B$2:$B$500,A20,采购记录!$C$2:$C$500,B20))</f>
        <v/>
      </c>
      <c r="F20" s="10" t="str">
        <f aca="false">IF(A20="","",SUMIFS(订单登记!$F$2:$F$500,订单登记!$D$2:$D$500,A20,订单登记!$E$2:$E$500,B20))</f>
        <v/>
      </c>
      <c r="G20" s="10" t="str">
        <f aca="false">IF(A20="","",N(D20)+E20-F20)</f>
        <v/>
      </c>
      <c r="H20" s="10" t="str">
        <f aca="false">IF(A20="","",商品目录!I20)</f>
        <v/>
      </c>
      <c r="I20" s="10" t="str">
        <f aca="false">IF(A20="","",IF(ISNUMBER(H20),IF(G20&lt;H20,"该补货",""),""))</f>
        <v/>
      </c>
    </row>
    <row r="21" customFormat="false" ht="15" hidden="false" customHeight="false" outlineLevel="0" collapsed="false">
      <c r="A21" s="10" t="str">
        <f aca="false">IF(商品目录!B21="","",商品目录!B21)</f>
        <v/>
      </c>
      <c r="B21" s="10" t="str">
        <f aca="false">IF(A21="","",商品目录!C21)</f>
        <v/>
      </c>
      <c r="C21" s="10" t="str">
        <f aca="false">IF(A21="","",商品目录!D21)</f>
        <v/>
      </c>
      <c r="D21" s="15"/>
      <c r="E21" s="10" t="str">
        <f aca="false">IF(A21="","",SUMIFS(采购记录!$D$2:$D$500,采购记录!$B$2:$B$500,A21,采购记录!$C$2:$C$500,B21))</f>
        <v/>
      </c>
      <c r="F21" s="10" t="str">
        <f aca="false">IF(A21="","",SUMIFS(订单登记!$F$2:$F$500,订单登记!$D$2:$D$500,A21,订单登记!$E$2:$E$500,B21))</f>
        <v/>
      </c>
      <c r="G21" s="10" t="str">
        <f aca="false">IF(A21="","",N(D21)+E21-F21)</f>
        <v/>
      </c>
      <c r="H21" s="10" t="str">
        <f aca="false">IF(A21="","",商品目录!I21)</f>
        <v/>
      </c>
      <c r="I21" s="10" t="str">
        <f aca="false">IF(A21="","",IF(ISNUMBER(H21),IF(G21&lt;H21,"该补货",""),""))</f>
        <v/>
      </c>
    </row>
    <row r="22" customFormat="false" ht="15" hidden="false" customHeight="false" outlineLevel="0" collapsed="false">
      <c r="A22" s="10" t="str">
        <f aca="false">IF(商品目录!B22="","",商品目录!B22)</f>
        <v/>
      </c>
      <c r="B22" s="10" t="str">
        <f aca="false">IF(A22="","",商品目录!C22)</f>
        <v/>
      </c>
      <c r="C22" s="10" t="str">
        <f aca="false">IF(A22="","",商品目录!D22)</f>
        <v/>
      </c>
      <c r="D22" s="15"/>
      <c r="E22" s="10" t="str">
        <f aca="false">IF(A22="","",SUMIFS(采购记录!$D$2:$D$500,采购记录!$B$2:$B$500,A22,采购记录!$C$2:$C$500,B22))</f>
        <v/>
      </c>
      <c r="F22" s="10" t="str">
        <f aca="false">IF(A22="","",SUMIFS(订单登记!$F$2:$F$500,订单登记!$D$2:$D$500,A22,订单登记!$E$2:$E$500,B22))</f>
        <v/>
      </c>
      <c r="G22" s="10" t="str">
        <f aca="false">IF(A22="","",N(D22)+E22-F22)</f>
        <v/>
      </c>
      <c r="H22" s="10" t="str">
        <f aca="false">IF(A22="","",商品目录!I22)</f>
        <v/>
      </c>
      <c r="I22" s="10" t="str">
        <f aca="false">IF(A22="","",IF(ISNUMBER(H22),IF(G22&lt;H22,"该补货",""),""))</f>
        <v/>
      </c>
    </row>
    <row r="23" customFormat="false" ht="15" hidden="false" customHeight="false" outlineLevel="0" collapsed="false">
      <c r="A23" s="10" t="str">
        <f aca="false">IF(商品目录!B23="","",商品目录!B23)</f>
        <v/>
      </c>
      <c r="B23" s="10" t="str">
        <f aca="false">IF(A23="","",商品目录!C23)</f>
        <v/>
      </c>
      <c r="C23" s="10" t="str">
        <f aca="false">IF(A23="","",商品目录!D23)</f>
        <v/>
      </c>
      <c r="D23" s="15"/>
      <c r="E23" s="10" t="str">
        <f aca="false">IF(A23="","",SUMIFS(采购记录!$D$2:$D$500,采购记录!$B$2:$B$500,A23,采购记录!$C$2:$C$500,B23))</f>
        <v/>
      </c>
      <c r="F23" s="10" t="str">
        <f aca="false">IF(A23="","",SUMIFS(订单登记!$F$2:$F$500,订单登记!$D$2:$D$500,A23,订单登记!$E$2:$E$500,B23))</f>
        <v/>
      </c>
      <c r="G23" s="10" t="str">
        <f aca="false">IF(A23="","",N(D23)+E23-F23)</f>
        <v/>
      </c>
      <c r="H23" s="10" t="str">
        <f aca="false">IF(A23="","",商品目录!I23)</f>
        <v/>
      </c>
      <c r="I23" s="10" t="str">
        <f aca="false">IF(A23="","",IF(ISNUMBER(H23),IF(G23&lt;H23,"该补货",""),""))</f>
        <v/>
      </c>
    </row>
    <row r="24" customFormat="false" ht="15" hidden="false" customHeight="false" outlineLevel="0" collapsed="false">
      <c r="A24" s="10" t="str">
        <f aca="false">IF(商品目录!B24="","",商品目录!B24)</f>
        <v/>
      </c>
      <c r="B24" s="10" t="str">
        <f aca="false">IF(A24="","",商品目录!C24)</f>
        <v/>
      </c>
      <c r="C24" s="10" t="str">
        <f aca="false">IF(A24="","",商品目录!D24)</f>
        <v/>
      </c>
      <c r="D24" s="15"/>
      <c r="E24" s="10" t="str">
        <f aca="false">IF(A24="","",SUMIFS(采购记录!$D$2:$D$500,采购记录!$B$2:$B$500,A24,采购记录!$C$2:$C$500,B24))</f>
        <v/>
      </c>
      <c r="F24" s="10" t="str">
        <f aca="false">IF(A24="","",SUMIFS(订单登记!$F$2:$F$500,订单登记!$D$2:$D$500,A24,订单登记!$E$2:$E$500,B24))</f>
        <v/>
      </c>
      <c r="G24" s="10" t="str">
        <f aca="false">IF(A24="","",N(D24)+E24-F24)</f>
        <v/>
      </c>
      <c r="H24" s="10" t="str">
        <f aca="false">IF(A24="","",商品目录!I24)</f>
        <v/>
      </c>
      <c r="I24" s="10" t="str">
        <f aca="false">IF(A24="","",IF(ISNUMBER(H24),IF(G24&lt;H24,"该补货",""),""))</f>
        <v/>
      </c>
    </row>
    <row r="25" customFormat="false" ht="15" hidden="false" customHeight="false" outlineLevel="0" collapsed="false">
      <c r="A25" s="10" t="str">
        <f aca="false">IF(商品目录!B25="","",商品目录!B25)</f>
        <v/>
      </c>
      <c r="B25" s="10" t="str">
        <f aca="false">IF(A25="","",商品目录!C25)</f>
        <v/>
      </c>
      <c r="C25" s="10" t="str">
        <f aca="false">IF(A25="","",商品目录!D25)</f>
        <v/>
      </c>
      <c r="D25" s="15"/>
      <c r="E25" s="10" t="str">
        <f aca="false">IF(A25="","",SUMIFS(采购记录!$D$2:$D$500,采购记录!$B$2:$B$500,A25,采购记录!$C$2:$C$500,B25))</f>
        <v/>
      </c>
      <c r="F25" s="10" t="str">
        <f aca="false">IF(A25="","",SUMIFS(订单登记!$F$2:$F$500,订单登记!$D$2:$D$500,A25,订单登记!$E$2:$E$500,B25))</f>
        <v/>
      </c>
      <c r="G25" s="10" t="str">
        <f aca="false">IF(A25="","",N(D25)+E25-F25)</f>
        <v/>
      </c>
      <c r="H25" s="10" t="str">
        <f aca="false">IF(A25="","",商品目录!I25)</f>
        <v/>
      </c>
      <c r="I25" s="10" t="str">
        <f aca="false">IF(A25="","",IF(ISNUMBER(H25),IF(G25&lt;H25,"该补货",""),""))</f>
        <v/>
      </c>
    </row>
    <row r="26" customFormat="false" ht="15" hidden="false" customHeight="false" outlineLevel="0" collapsed="false">
      <c r="A26" s="10" t="str">
        <f aca="false">IF(商品目录!B26="","",商品目录!B26)</f>
        <v/>
      </c>
      <c r="B26" s="10" t="str">
        <f aca="false">IF(A26="","",商品目录!C26)</f>
        <v/>
      </c>
      <c r="C26" s="10" t="str">
        <f aca="false">IF(A26="","",商品目录!D26)</f>
        <v/>
      </c>
      <c r="D26" s="15"/>
      <c r="E26" s="10" t="str">
        <f aca="false">IF(A26="","",SUMIFS(采购记录!$D$2:$D$500,采购记录!$B$2:$B$500,A26,采购记录!$C$2:$C$500,B26))</f>
        <v/>
      </c>
      <c r="F26" s="10" t="str">
        <f aca="false">IF(A26="","",SUMIFS(订单登记!$F$2:$F$500,订单登记!$D$2:$D$500,A26,订单登记!$E$2:$E$500,B26))</f>
        <v/>
      </c>
      <c r="G26" s="10" t="str">
        <f aca="false">IF(A26="","",N(D26)+E26-F26)</f>
        <v/>
      </c>
      <c r="H26" s="10" t="str">
        <f aca="false">IF(A26="","",商品目录!I26)</f>
        <v/>
      </c>
      <c r="I26" s="10" t="str">
        <f aca="false">IF(A26="","",IF(ISNUMBER(H26),IF(G26&lt;H26,"该补货",""),""))</f>
        <v/>
      </c>
    </row>
    <row r="27" customFormat="false" ht="15" hidden="false" customHeight="false" outlineLevel="0" collapsed="false">
      <c r="A27" s="10" t="str">
        <f aca="false">IF(商品目录!B27="","",商品目录!B27)</f>
        <v/>
      </c>
      <c r="B27" s="10" t="str">
        <f aca="false">IF(A27="","",商品目录!C27)</f>
        <v/>
      </c>
      <c r="C27" s="10" t="str">
        <f aca="false">IF(A27="","",商品目录!D27)</f>
        <v/>
      </c>
      <c r="D27" s="15"/>
      <c r="E27" s="10" t="str">
        <f aca="false">IF(A27="","",SUMIFS(采购记录!$D$2:$D$500,采购记录!$B$2:$B$500,A27,采购记录!$C$2:$C$500,B27))</f>
        <v/>
      </c>
      <c r="F27" s="10" t="str">
        <f aca="false">IF(A27="","",SUMIFS(订单登记!$F$2:$F$500,订单登记!$D$2:$D$500,A27,订单登记!$E$2:$E$500,B27))</f>
        <v/>
      </c>
      <c r="G27" s="10" t="str">
        <f aca="false">IF(A27="","",N(D27)+E27-F27)</f>
        <v/>
      </c>
      <c r="H27" s="10" t="str">
        <f aca="false">IF(A27="","",商品目录!I27)</f>
        <v/>
      </c>
      <c r="I27" s="10" t="str">
        <f aca="false">IF(A27="","",IF(ISNUMBER(H27),IF(G27&lt;H27,"该补货",""),""))</f>
        <v/>
      </c>
    </row>
    <row r="28" customFormat="false" ht="15" hidden="false" customHeight="false" outlineLevel="0" collapsed="false">
      <c r="A28" s="10" t="str">
        <f aca="false">IF(商品目录!B28="","",商品目录!B28)</f>
        <v/>
      </c>
      <c r="B28" s="10" t="str">
        <f aca="false">IF(A28="","",商品目录!C28)</f>
        <v/>
      </c>
      <c r="C28" s="10" t="str">
        <f aca="false">IF(A28="","",商品目录!D28)</f>
        <v/>
      </c>
      <c r="D28" s="15"/>
      <c r="E28" s="10" t="str">
        <f aca="false">IF(A28="","",SUMIFS(采购记录!$D$2:$D$500,采购记录!$B$2:$B$500,A28,采购记录!$C$2:$C$500,B28))</f>
        <v/>
      </c>
      <c r="F28" s="10" t="str">
        <f aca="false">IF(A28="","",SUMIFS(订单登记!$F$2:$F$500,订单登记!$D$2:$D$500,A28,订单登记!$E$2:$E$500,B28))</f>
        <v/>
      </c>
      <c r="G28" s="10" t="str">
        <f aca="false">IF(A28="","",N(D28)+E28-F28)</f>
        <v/>
      </c>
      <c r="H28" s="10" t="str">
        <f aca="false">IF(A28="","",商品目录!I28)</f>
        <v/>
      </c>
      <c r="I28" s="10" t="str">
        <f aca="false">IF(A28="","",IF(ISNUMBER(H28),IF(G28&lt;H28,"该补货",""),""))</f>
        <v/>
      </c>
    </row>
    <row r="29" customFormat="false" ht="15" hidden="false" customHeight="false" outlineLevel="0" collapsed="false">
      <c r="A29" s="10" t="str">
        <f aca="false">IF(商品目录!B29="","",商品目录!B29)</f>
        <v/>
      </c>
      <c r="B29" s="10" t="str">
        <f aca="false">IF(A29="","",商品目录!C29)</f>
        <v/>
      </c>
      <c r="C29" s="10" t="str">
        <f aca="false">IF(A29="","",商品目录!D29)</f>
        <v/>
      </c>
      <c r="D29" s="15"/>
      <c r="E29" s="10" t="str">
        <f aca="false">IF(A29="","",SUMIFS(采购记录!$D$2:$D$500,采购记录!$B$2:$B$500,A29,采购记录!$C$2:$C$500,B29))</f>
        <v/>
      </c>
      <c r="F29" s="10" t="str">
        <f aca="false">IF(A29="","",SUMIFS(订单登记!$F$2:$F$500,订单登记!$D$2:$D$500,A29,订单登记!$E$2:$E$500,B29))</f>
        <v/>
      </c>
      <c r="G29" s="10" t="str">
        <f aca="false">IF(A29="","",N(D29)+E29-F29)</f>
        <v/>
      </c>
      <c r="H29" s="10" t="str">
        <f aca="false">IF(A29="","",商品目录!I29)</f>
        <v/>
      </c>
      <c r="I29" s="10" t="str">
        <f aca="false">IF(A29="","",IF(ISNUMBER(H29),IF(G29&lt;H29,"该补货",""),""))</f>
        <v/>
      </c>
    </row>
    <row r="30" customFormat="false" ht="15" hidden="false" customHeight="false" outlineLevel="0" collapsed="false">
      <c r="A30" s="10" t="str">
        <f aca="false">IF(商品目录!B30="","",商品目录!B30)</f>
        <v/>
      </c>
      <c r="B30" s="10" t="str">
        <f aca="false">IF(A30="","",商品目录!C30)</f>
        <v/>
      </c>
      <c r="C30" s="10" t="str">
        <f aca="false">IF(A30="","",商品目录!D30)</f>
        <v/>
      </c>
      <c r="D30" s="15"/>
      <c r="E30" s="10" t="str">
        <f aca="false">IF(A30="","",SUMIFS(采购记录!$D$2:$D$500,采购记录!$B$2:$B$500,A30,采购记录!$C$2:$C$500,B30))</f>
        <v/>
      </c>
      <c r="F30" s="10" t="str">
        <f aca="false">IF(A30="","",SUMIFS(订单登记!$F$2:$F$500,订单登记!$D$2:$D$500,A30,订单登记!$E$2:$E$500,B30))</f>
        <v/>
      </c>
      <c r="G30" s="10" t="str">
        <f aca="false">IF(A30="","",N(D30)+E30-F30)</f>
        <v/>
      </c>
      <c r="H30" s="10" t="str">
        <f aca="false">IF(A30="","",商品目录!I30)</f>
        <v/>
      </c>
      <c r="I30" s="10" t="str">
        <f aca="false">IF(A30="","",IF(ISNUMBER(H30),IF(G30&lt;H30,"该补货",""),""))</f>
        <v/>
      </c>
    </row>
    <row r="31" customFormat="false" ht="15" hidden="false" customHeight="false" outlineLevel="0" collapsed="false">
      <c r="A31" s="10" t="str">
        <f aca="false">IF(商品目录!B31="","",商品目录!B31)</f>
        <v/>
      </c>
      <c r="B31" s="10" t="str">
        <f aca="false">IF(A31="","",商品目录!C31)</f>
        <v/>
      </c>
      <c r="C31" s="10" t="str">
        <f aca="false">IF(A31="","",商品目录!D31)</f>
        <v/>
      </c>
      <c r="D31" s="15"/>
      <c r="E31" s="10" t="str">
        <f aca="false">IF(A31="","",SUMIFS(采购记录!$D$2:$D$500,采购记录!$B$2:$B$500,A31,采购记录!$C$2:$C$500,B31))</f>
        <v/>
      </c>
      <c r="F31" s="10" t="str">
        <f aca="false">IF(A31="","",SUMIFS(订单登记!$F$2:$F$500,订单登记!$D$2:$D$500,A31,订单登记!$E$2:$E$500,B31))</f>
        <v/>
      </c>
      <c r="G31" s="10" t="str">
        <f aca="false">IF(A31="","",N(D31)+E31-F31)</f>
        <v/>
      </c>
      <c r="H31" s="10" t="str">
        <f aca="false">IF(A31="","",商品目录!I31)</f>
        <v/>
      </c>
      <c r="I31" s="10" t="str">
        <f aca="false">IF(A31="","",IF(ISNUMBER(H31),IF(G31&lt;H31,"该补货",""),""))</f>
        <v/>
      </c>
    </row>
    <row r="32" customFormat="false" ht="15" hidden="false" customHeight="false" outlineLevel="0" collapsed="false">
      <c r="A32" s="10" t="str">
        <f aca="false">IF(商品目录!B32="","",商品目录!B32)</f>
        <v/>
      </c>
      <c r="B32" s="10" t="str">
        <f aca="false">IF(A32="","",商品目录!C32)</f>
        <v/>
      </c>
      <c r="C32" s="10" t="str">
        <f aca="false">IF(A32="","",商品目录!D32)</f>
        <v/>
      </c>
      <c r="D32" s="15"/>
      <c r="E32" s="10" t="str">
        <f aca="false">IF(A32="","",SUMIFS(采购记录!$D$2:$D$500,采购记录!$B$2:$B$500,A32,采购记录!$C$2:$C$500,B32))</f>
        <v/>
      </c>
      <c r="F32" s="10" t="str">
        <f aca="false">IF(A32="","",SUMIFS(订单登记!$F$2:$F$500,订单登记!$D$2:$D$500,A32,订单登记!$E$2:$E$500,B32))</f>
        <v/>
      </c>
      <c r="G32" s="10" t="str">
        <f aca="false">IF(A32="","",N(D32)+E32-F32)</f>
        <v/>
      </c>
      <c r="H32" s="10" t="str">
        <f aca="false">IF(A32="","",商品目录!I32)</f>
        <v/>
      </c>
      <c r="I32" s="10" t="str">
        <f aca="false">IF(A32="","",IF(ISNUMBER(H32),IF(G32&lt;H32,"该补货",""),""))</f>
        <v/>
      </c>
    </row>
    <row r="33" customFormat="false" ht="15" hidden="false" customHeight="false" outlineLevel="0" collapsed="false">
      <c r="A33" s="10" t="str">
        <f aca="false">IF(商品目录!B33="","",商品目录!B33)</f>
        <v/>
      </c>
      <c r="B33" s="10" t="str">
        <f aca="false">IF(A33="","",商品目录!C33)</f>
        <v/>
      </c>
      <c r="C33" s="10" t="str">
        <f aca="false">IF(A33="","",商品目录!D33)</f>
        <v/>
      </c>
      <c r="D33" s="15"/>
      <c r="E33" s="10" t="str">
        <f aca="false">IF(A33="","",SUMIFS(采购记录!$D$2:$D$500,采购记录!$B$2:$B$500,A33,采购记录!$C$2:$C$500,B33))</f>
        <v/>
      </c>
      <c r="F33" s="10" t="str">
        <f aca="false">IF(A33="","",SUMIFS(订单登记!$F$2:$F$500,订单登记!$D$2:$D$500,A33,订单登记!$E$2:$E$500,B33))</f>
        <v/>
      </c>
      <c r="G33" s="10" t="str">
        <f aca="false">IF(A33="","",N(D33)+E33-F33)</f>
        <v/>
      </c>
      <c r="H33" s="10" t="str">
        <f aca="false">IF(A33="","",商品目录!I33)</f>
        <v/>
      </c>
      <c r="I33" s="10" t="str">
        <f aca="false">IF(A33="","",IF(ISNUMBER(H33),IF(G33&lt;H33,"该补货",""),""))</f>
        <v/>
      </c>
    </row>
    <row r="34" customFormat="false" ht="15" hidden="false" customHeight="false" outlineLevel="0" collapsed="false">
      <c r="A34" s="10" t="str">
        <f aca="false">IF(商品目录!B34="","",商品目录!B34)</f>
        <v/>
      </c>
      <c r="B34" s="10" t="str">
        <f aca="false">IF(A34="","",商品目录!C34)</f>
        <v/>
      </c>
      <c r="C34" s="10" t="str">
        <f aca="false">IF(A34="","",商品目录!D34)</f>
        <v/>
      </c>
      <c r="D34" s="15"/>
      <c r="E34" s="10" t="str">
        <f aca="false">IF(A34="","",SUMIFS(采购记录!$D$2:$D$500,采购记录!$B$2:$B$500,A34,采购记录!$C$2:$C$500,B34))</f>
        <v/>
      </c>
      <c r="F34" s="10" t="str">
        <f aca="false">IF(A34="","",SUMIFS(订单登记!$F$2:$F$500,订单登记!$D$2:$D$500,A34,订单登记!$E$2:$E$500,B34))</f>
        <v/>
      </c>
      <c r="G34" s="10" t="str">
        <f aca="false">IF(A34="","",N(D34)+E34-F34)</f>
        <v/>
      </c>
      <c r="H34" s="10" t="str">
        <f aca="false">IF(A34="","",商品目录!I34)</f>
        <v/>
      </c>
      <c r="I34" s="10" t="str">
        <f aca="false">IF(A34="","",IF(ISNUMBER(H34),IF(G34&lt;H34,"该补货",""),""))</f>
        <v/>
      </c>
    </row>
    <row r="35" customFormat="false" ht="15" hidden="false" customHeight="false" outlineLevel="0" collapsed="false">
      <c r="A35" s="10" t="str">
        <f aca="false">IF(商品目录!B35="","",商品目录!B35)</f>
        <v/>
      </c>
      <c r="B35" s="10" t="str">
        <f aca="false">IF(A35="","",商品目录!C35)</f>
        <v/>
      </c>
      <c r="C35" s="10" t="str">
        <f aca="false">IF(A35="","",商品目录!D35)</f>
        <v/>
      </c>
      <c r="D35" s="15"/>
      <c r="E35" s="10" t="str">
        <f aca="false">IF(A35="","",SUMIFS(采购记录!$D$2:$D$500,采购记录!$B$2:$B$500,A35,采购记录!$C$2:$C$500,B35))</f>
        <v/>
      </c>
      <c r="F35" s="10" t="str">
        <f aca="false">IF(A35="","",SUMIFS(订单登记!$F$2:$F$500,订单登记!$D$2:$D$500,A35,订单登记!$E$2:$E$500,B35))</f>
        <v/>
      </c>
      <c r="G35" s="10" t="str">
        <f aca="false">IF(A35="","",N(D35)+E35-F35)</f>
        <v/>
      </c>
      <c r="H35" s="10" t="str">
        <f aca="false">IF(A35="","",商品目录!I35)</f>
        <v/>
      </c>
      <c r="I35" s="10" t="str">
        <f aca="false">IF(A35="","",IF(ISNUMBER(H35),IF(G35&lt;H35,"该补货",""),""))</f>
        <v/>
      </c>
    </row>
    <row r="36" customFormat="false" ht="15" hidden="false" customHeight="false" outlineLevel="0" collapsed="false">
      <c r="A36" s="10" t="str">
        <f aca="false">IF(商品目录!B36="","",商品目录!B36)</f>
        <v/>
      </c>
      <c r="B36" s="10" t="str">
        <f aca="false">IF(A36="","",商品目录!C36)</f>
        <v/>
      </c>
      <c r="C36" s="10" t="str">
        <f aca="false">IF(A36="","",商品目录!D36)</f>
        <v/>
      </c>
      <c r="D36" s="15"/>
      <c r="E36" s="10" t="str">
        <f aca="false">IF(A36="","",SUMIFS(采购记录!$D$2:$D$500,采购记录!$B$2:$B$500,A36,采购记录!$C$2:$C$500,B36))</f>
        <v/>
      </c>
      <c r="F36" s="10" t="str">
        <f aca="false">IF(A36="","",SUMIFS(订单登记!$F$2:$F$500,订单登记!$D$2:$D$500,A36,订单登记!$E$2:$E$500,B36))</f>
        <v/>
      </c>
      <c r="G36" s="10" t="str">
        <f aca="false">IF(A36="","",N(D36)+E36-F36)</f>
        <v/>
      </c>
      <c r="H36" s="10" t="str">
        <f aca="false">IF(A36="","",商品目录!I36)</f>
        <v/>
      </c>
      <c r="I36" s="10" t="str">
        <f aca="false">IF(A36="","",IF(ISNUMBER(H36),IF(G36&lt;H36,"该补货",""),""))</f>
        <v/>
      </c>
    </row>
    <row r="37" customFormat="false" ht="15" hidden="false" customHeight="false" outlineLevel="0" collapsed="false">
      <c r="A37" s="10" t="str">
        <f aca="false">IF(商品目录!B37="","",商品目录!B37)</f>
        <v/>
      </c>
      <c r="B37" s="10" t="str">
        <f aca="false">IF(A37="","",商品目录!C37)</f>
        <v/>
      </c>
      <c r="C37" s="10" t="str">
        <f aca="false">IF(A37="","",商品目录!D37)</f>
        <v/>
      </c>
      <c r="D37" s="15"/>
      <c r="E37" s="10" t="str">
        <f aca="false">IF(A37="","",SUMIFS(采购记录!$D$2:$D$500,采购记录!$B$2:$B$500,A37,采购记录!$C$2:$C$500,B37))</f>
        <v/>
      </c>
      <c r="F37" s="10" t="str">
        <f aca="false">IF(A37="","",SUMIFS(订单登记!$F$2:$F$500,订单登记!$D$2:$D$500,A37,订单登记!$E$2:$E$500,B37))</f>
        <v/>
      </c>
      <c r="G37" s="10" t="str">
        <f aca="false">IF(A37="","",N(D37)+E37-F37)</f>
        <v/>
      </c>
      <c r="H37" s="10" t="str">
        <f aca="false">IF(A37="","",商品目录!I37)</f>
        <v/>
      </c>
      <c r="I37" s="10" t="str">
        <f aca="false">IF(A37="","",IF(ISNUMBER(H37),IF(G37&lt;H37,"该补货",""),""))</f>
        <v/>
      </c>
    </row>
    <row r="38" customFormat="false" ht="15" hidden="false" customHeight="false" outlineLevel="0" collapsed="false">
      <c r="A38" s="10" t="str">
        <f aca="false">IF(商品目录!B38="","",商品目录!B38)</f>
        <v/>
      </c>
      <c r="B38" s="10" t="str">
        <f aca="false">IF(A38="","",商品目录!C38)</f>
        <v/>
      </c>
      <c r="C38" s="10" t="str">
        <f aca="false">IF(A38="","",商品目录!D38)</f>
        <v/>
      </c>
      <c r="D38" s="15"/>
      <c r="E38" s="10" t="str">
        <f aca="false">IF(A38="","",SUMIFS(采购记录!$D$2:$D$500,采购记录!$B$2:$B$500,A38,采购记录!$C$2:$C$500,B38))</f>
        <v/>
      </c>
      <c r="F38" s="10" t="str">
        <f aca="false">IF(A38="","",SUMIFS(订单登记!$F$2:$F$500,订单登记!$D$2:$D$500,A38,订单登记!$E$2:$E$500,B38))</f>
        <v/>
      </c>
      <c r="G38" s="10" t="str">
        <f aca="false">IF(A38="","",N(D38)+E38-F38)</f>
        <v/>
      </c>
      <c r="H38" s="10" t="str">
        <f aca="false">IF(A38="","",商品目录!I38)</f>
        <v/>
      </c>
      <c r="I38" s="10" t="str">
        <f aca="false">IF(A38="","",IF(ISNUMBER(H38),IF(G38&lt;H38,"该补货",""),""))</f>
        <v/>
      </c>
    </row>
    <row r="39" customFormat="false" ht="15" hidden="false" customHeight="false" outlineLevel="0" collapsed="false">
      <c r="A39" s="10" t="str">
        <f aca="false">IF(商品目录!B39="","",商品目录!B39)</f>
        <v/>
      </c>
      <c r="B39" s="10" t="str">
        <f aca="false">IF(A39="","",商品目录!C39)</f>
        <v/>
      </c>
      <c r="C39" s="10" t="str">
        <f aca="false">IF(A39="","",商品目录!D39)</f>
        <v/>
      </c>
      <c r="D39" s="15"/>
      <c r="E39" s="10" t="str">
        <f aca="false">IF(A39="","",SUMIFS(采购记录!$D$2:$D$500,采购记录!$B$2:$B$500,A39,采购记录!$C$2:$C$500,B39))</f>
        <v/>
      </c>
      <c r="F39" s="10" t="str">
        <f aca="false">IF(A39="","",SUMIFS(订单登记!$F$2:$F$500,订单登记!$D$2:$D$500,A39,订单登记!$E$2:$E$500,B39))</f>
        <v/>
      </c>
      <c r="G39" s="10" t="str">
        <f aca="false">IF(A39="","",N(D39)+E39-F39)</f>
        <v/>
      </c>
      <c r="H39" s="10" t="str">
        <f aca="false">IF(A39="","",商品目录!I39)</f>
        <v/>
      </c>
      <c r="I39" s="10" t="str">
        <f aca="false">IF(A39="","",IF(ISNUMBER(H39),IF(G39&lt;H39,"该补货",""),""))</f>
        <v/>
      </c>
    </row>
    <row r="40" customFormat="false" ht="15" hidden="false" customHeight="false" outlineLevel="0" collapsed="false">
      <c r="A40" s="10" t="str">
        <f aca="false">IF(商品目录!B40="","",商品目录!B40)</f>
        <v/>
      </c>
      <c r="B40" s="10" t="str">
        <f aca="false">IF(A40="","",商品目录!C40)</f>
        <v/>
      </c>
      <c r="C40" s="10" t="str">
        <f aca="false">IF(A40="","",商品目录!D40)</f>
        <v/>
      </c>
      <c r="D40" s="15"/>
      <c r="E40" s="10" t="str">
        <f aca="false">IF(A40="","",SUMIFS(采购记录!$D$2:$D$500,采购记录!$B$2:$B$500,A40,采购记录!$C$2:$C$500,B40))</f>
        <v/>
      </c>
      <c r="F40" s="10" t="str">
        <f aca="false">IF(A40="","",SUMIFS(订单登记!$F$2:$F$500,订单登记!$D$2:$D$500,A40,订单登记!$E$2:$E$500,B40))</f>
        <v/>
      </c>
      <c r="G40" s="10" t="str">
        <f aca="false">IF(A40="","",N(D40)+E40-F40)</f>
        <v/>
      </c>
      <c r="H40" s="10" t="str">
        <f aca="false">IF(A40="","",商品目录!I40)</f>
        <v/>
      </c>
      <c r="I40" s="10" t="str">
        <f aca="false">IF(A40="","",IF(ISNUMBER(H40),IF(G40&lt;H40,"该补货",""),""))</f>
        <v/>
      </c>
    </row>
    <row r="41" customFormat="false" ht="15" hidden="false" customHeight="false" outlineLevel="0" collapsed="false">
      <c r="A41" s="10" t="str">
        <f aca="false">IF(商品目录!B41="","",商品目录!B41)</f>
        <v/>
      </c>
      <c r="B41" s="10" t="str">
        <f aca="false">IF(A41="","",商品目录!C41)</f>
        <v/>
      </c>
      <c r="C41" s="10" t="str">
        <f aca="false">IF(A41="","",商品目录!D41)</f>
        <v/>
      </c>
      <c r="D41" s="15"/>
      <c r="E41" s="10" t="str">
        <f aca="false">IF(A41="","",SUMIFS(采购记录!$D$2:$D$500,采购记录!$B$2:$B$500,A41,采购记录!$C$2:$C$500,B41))</f>
        <v/>
      </c>
      <c r="F41" s="10" t="str">
        <f aca="false">IF(A41="","",SUMIFS(订单登记!$F$2:$F$500,订单登记!$D$2:$D$500,A41,订单登记!$E$2:$E$500,B41))</f>
        <v/>
      </c>
      <c r="G41" s="10" t="str">
        <f aca="false">IF(A41="","",N(D41)+E41-F41)</f>
        <v/>
      </c>
      <c r="H41" s="10" t="str">
        <f aca="false">IF(A41="","",商品目录!I41)</f>
        <v/>
      </c>
      <c r="I41" s="10" t="str">
        <f aca="false">IF(A41="","",IF(ISNUMBER(H41),IF(G41&lt;H41,"该补货",""),""))</f>
        <v/>
      </c>
    </row>
    <row r="42" customFormat="false" ht="15" hidden="false" customHeight="false" outlineLevel="0" collapsed="false">
      <c r="A42" s="10" t="str">
        <f aca="false">IF(商品目录!B42="","",商品目录!B42)</f>
        <v/>
      </c>
      <c r="B42" s="10" t="str">
        <f aca="false">IF(A42="","",商品目录!C42)</f>
        <v/>
      </c>
      <c r="C42" s="10" t="str">
        <f aca="false">IF(A42="","",商品目录!D42)</f>
        <v/>
      </c>
      <c r="D42" s="15"/>
      <c r="E42" s="10" t="str">
        <f aca="false">IF(A42="","",SUMIFS(采购记录!$D$2:$D$500,采购记录!$B$2:$B$500,A42,采购记录!$C$2:$C$500,B42))</f>
        <v/>
      </c>
      <c r="F42" s="10" t="str">
        <f aca="false">IF(A42="","",SUMIFS(订单登记!$F$2:$F$500,订单登记!$D$2:$D$500,A42,订单登记!$E$2:$E$500,B42))</f>
        <v/>
      </c>
      <c r="G42" s="10" t="str">
        <f aca="false">IF(A42="","",N(D42)+E42-F42)</f>
        <v/>
      </c>
      <c r="H42" s="10" t="str">
        <f aca="false">IF(A42="","",商品目录!I42)</f>
        <v/>
      </c>
      <c r="I42" s="10" t="str">
        <f aca="false">IF(A42="","",IF(ISNUMBER(H42),IF(G42&lt;H42,"该补货",""),""))</f>
        <v/>
      </c>
    </row>
    <row r="43" customFormat="false" ht="15" hidden="false" customHeight="false" outlineLevel="0" collapsed="false">
      <c r="A43" s="10" t="str">
        <f aca="false">IF(商品目录!B43="","",商品目录!B43)</f>
        <v/>
      </c>
      <c r="B43" s="10" t="str">
        <f aca="false">IF(A43="","",商品目录!C43)</f>
        <v/>
      </c>
      <c r="C43" s="10" t="str">
        <f aca="false">IF(A43="","",商品目录!D43)</f>
        <v/>
      </c>
      <c r="D43" s="15"/>
      <c r="E43" s="10" t="str">
        <f aca="false">IF(A43="","",SUMIFS(采购记录!$D$2:$D$500,采购记录!$B$2:$B$500,A43,采购记录!$C$2:$C$500,B43))</f>
        <v/>
      </c>
      <c r="F43" s="10" t="str">
        <f aca="false">IF(A43="","",SUMIFS(订单登记!$F$2:$F$500,订单登记!$D$2:$D$500,A43,订单登记!$E$2:$E$500,B43))</f>
        <v/>
      </c>
      <c r="G43" s="10" t="str">
        <f aca="false">IF(A43="","",N(D43)+E43-F43)</f>
        <v/>
      </c>
      <c r="H43" s="10" t="str">
        <f aca="false">IF(A43="","",商品目录!I43)</f>
        <v/>
      </c>
      <c r="I43" s="10" t="str">
        <f aca="false">IF(A43="","",IF(ISNUMBER(H43),IF(G43&lt;H43,"该补货",""),""))</f>
        <v/>
      </c>
    </row>
    <row r="44" customFormat="false" ht="15" hidden="false" customHeight="false" outlineLevel="0" collapsed="false">
      <c r="A44" s="10" t="str">
        <f aca="false">IF(商品目录!B44="","",商品目录!B44)</f>
        <v/>
      </c>
      <c r="B44" s="10" t="str">
        <f aca="false">IF(A44="","",商品目录!C44)</f>
        <v/>
      </c>
      <c r="C44" s="10" t="str">
        <f aca="false">IF(A44="","",商品目录!D44)</f>
        <v/>
      </c>
      <c r="D44" s="15"/>
      <c r="E44" s="10" t="str">
        <f aca="false">IF(A44="","",SUMIFS(采购记录!$D$2:$D$500,采购记录!$B$2:$B$500,A44,采购记录!$C$2:$C$500,B44))</f>
        <v/>
      </c>
      <c r="F44" s="10" t="str">
        <f aca="false">IF(A44="","",SUMIFS(订单登记!$F$2:$F$500,订单登记!$D$2:$D$500,A44,订单登记!$E$2:$E$500,B44))</f>
        <v/>
      </c>
      <c r="G44" s="10" t="str">
        <f aca="false">IF(A44="","",N(D44)+E44-F44)</f>
        <v/>
      </c>
      <c r="H44" s="10" t="str">
        <f aca="false">IF(A44="","",商品目录!I44)</f>
        <v/>
      </c>
      <c r="I44" s="10" t="str">
        <f aca="false">IF(A44="","",IF(ISNUMBER(H44),IF(G44&lt;H44,"该补货",""),""))</f>
        <v/>
      </c>
    </row>
    <row r="45" customFormat="false" ht="15" hidden="false" customHeight="false" outlineLevel="0" collapsed="false">
      <c r="A45" s="10" t="str">
        <f aca="false">IF(商品目录!B45="","",商品目录!B45)</f>
        <v/>
      </c>
      <c r="B45" s="10" t="str">
        <f aca="false">IF(A45="","",商品目录!C45)</f>
        <v/>
      </c>
      <c r="C45" s="10" t="str">
        <f aca="false">IF(A45="","",商品目录!D45)</f>
        <v/>
      </c>
      <c r="D45" s="15"/>
      <c r="E45" s="10" t="str">
        <f aca="false">IF(A45="","",SUMIFS(采购记录!$D$2:$D$500,采购记录!$B$2:$B$500,A45,采购记录!$C$2:$C$500,B45))</f>
        <v/>
      </c>
      <c r="F45" s="10" t="str">
        <f aca="false">IF(A45="","",SUMIFS(订单登记!$F$2:$F$500,订单登记!$D$2:$D$500,A45,订单登记!$E$2:$E$500,B45))</f>
        <v/>
      </c>
      <c r="G45" s="10" t="str">
        <f aca="false">IF(A45="","",N(D45)+E45-F45)</f>
        <v/>
      </c>
      <c r="H45" s="10" t="str">
        <f aca="false">IF(A45="","",商品目录!I45)</f>
        <v/>
      </c>
      <c r="I45" s="10" t="str">
        <f aca="false">IF(A45="","",IF(ISNUMBER(H45),IF(G45&lt;H45,"该补货",""),""))</f>
        <v/>
      </c>
    </row>
    <row r="46" customFormat="false" ht="15" hidden="false" customHeight="false" outlineLevel="0" collapsed="false">
      <c r="A46" s="10" t="str">
        <f aca="false">IF(商品目录!B46="","",商品目录!B46)</f>
        <v/>
      </c>
      <c r="B46" s="10" t="str">
        <f aca="false">IF(A46="","",商品目录!C46)</f>
        <v/>
      </c>
      <c r="C46" s="10" t="str">
        <f aca="false">IF(A46="","",商品目录!D46)</f>
        <v/>
      </c>
      <c r="D46" s="15"/>
      <c r="E46" s="10" t="str">
        <f aca="false">IF(A46="","",SUMIFS(采购记录!$D$2:$D$500,采购记录!$B$2:$B$500,A46,采购记录!$C$2:$C$500,B46))</f>
        <v/>
      </c>
      <c r="F46" s="10" t="str">
        <f aca="false">IF(A46="","",SUMIFS(订单登记!$F$2:$F$500,订单登记!$D$2:$D$500,A46,订单登记!$E$2:$E$500,B46))</f>
        <v/>
      </c>
      <c r="G46" s="10" t="str">
        <f aca="false">IF(A46="","",N(D46)+E46-F46)</f>
        <v/>
      </c>
      <c r="H46" s="10" t="str">
        <f aca="false">IF(A46="","",商品目录!I46)</f>
        <v/>
      </c>
      <c r="I46" s="10" t="str">
        <f aca="false">IF(A46="","",IF(ISNUMBER(H46),IF(G46&lt;H46,"该补货",""),""))</f>
        <v/>
      </c>
    </row>
    <row r="47" customFormat="false" ht="15" hidden="false" customHeight="false" outlineLevel="0" collapsed="false">
      <c r="A47" s="10" t="str">
        <f aca="false">IF(商品目录!B47="","",商品目录!B47)</f>
        <v/>
      </c>
      <c r="B47" s="10" t="str">
        <f aca="false">IF(A47="","",商品目录!C47)</f>
        <v/>
      </c>
      <c r="C47" s="10" t="str">
        <f aca="false">IF(A47="","",商品目录!D47)</f>
        <v/>
      </c>
      <c r="D47" s="15"/>
      <c r="E47" s="10" t="str">
        <f aca="false">IF(A47="","",SUMIFS(采购记录!$D$2:$D$500,采购记录!$B$2:$B$500,A47,采购记录!$C$2:$C$500,B47))</f>
        <v/>
      </c>
      <c r="F47" s="10" t="str">
        <f aca="false">IF(A47="","",SUMIFS(订单登记!$F$2:$F$500,订单登记!$D$2:$D$500,A47,订单登记!$E$2:$E$500,B47))</f>
        <v/>
      </c>
      <c r="G47" s="10" t="str">
        <f aca="false">IF(A47="","",N(D47)+E47-F47)</f>
        <v/>
      </c>
      <c r="H47" s="10" t="str">
        <f aca="false">IF(A47="","",商品目录!I47)</f>
        <v/>
      </c>
      <c r="I47" s="10" t="str">
        <f aca="false">IF(A47="","",IF(ISNUMBER(H47),IF(G47&lt;H47,"该补货",""),""))</f>
        <v/>
      </c>
    </row>
    <row r="48" customFormat="false" ht="15" hidden="false" customHeight="false" outlineLevel="0" collapsed="false">
      <c r="A48" s="10" t="str">
        <f aca="false">IF(商品目录!B48="","",商品目录!B48)</f>
        <v/>
      </c>
      <c r="B48" s="10" t="str">
        <f aca="false">IF(A48="","",商品目录!C48)</f>
        <v/>
      </c>
      <c r="C48" s="10" t="str">
        <f aca="false">IF(A48="","",商品目录!D48)</f>
        <v/>
      </c>
      <c r="D48" s="15"/>
      <c r="E48" s="10" t="str">
        <f aca="false">IF(A48="","",SUMIFS(采购记录!$D$2:$D$500,采购记录!$B$2:$B$500,A48,采购记录!$C$2:$C$500,B48))</f>
        <v/>
      </c>
      <c r="F48" s="10" t="str">
        <f aca="false">IF(A48="","",SUMIFS(订单登记!$F$2:$F$500,订单登记!$D$2:$D$500,A48,订单登记!$E$2:$E$500,B48))</f>
        <v/>
      </c>
      <c r="G48" s="10" t="str">
        <f aca="false">IF(A48="","",N(D48)+E48-F48)</f>
        <v/>
      </c>
      <c r="H48" s="10" t="str">
        <f aca="false">IF(A48="","",商品目录!I48)</f>
        <v/>
      </c>
      <c r="I48" s="10" t="str">
        <f aca="false">IF(A48="","",IF(ISNUMBER(H48),IF(G48&lt;H48,"该补货",""),""))</f>
        <v/>
      </c>
    </row>
    <row r="49" customFormat="false" ht="15" hidden="false" customHeight="false" outlineLevel="0" collapsed="false">
      <c r="A49" s="10" t="str">
        <f aca="false">IF(商品目录!B49="","",商品目录!B49)</f>
        <v/>
      </c>
      <c r="B49" s="10" t="str">
        <f aca="false">IF(A49="","",商品目录!C49)</f>
        <v/>
      </c>
      <c r="C49" s="10" t="str">
        <f aca="false">IF(A49="","",商品目录!D49)</f>
        <v/>
      </c>
      <c r="D49" s="15"/>
      <c r="E49" s="10" t="str">
        <f aca="false">IF(A49="","",SUMIFS(采购记录!$D$2:$D$500,采购记录!$B$2:$B$500,A49,采购记录!$C$2:$C$500,B49))</f>
        <v/>
      </c>
      <c r="F49" s="10" t="str">
        <f aca="false">IF(A49="","",SUMIFS(订单登记!$F$2:$F$500,订单登记!$D$2:$D$500,A49,订单登记!$E$2:$E$500,B49))</f>
        <v/>
      </c>
      <c r="G49" s="10" t="str">
        <f aca="false">IF(A49="","",N(D49)+E49-F49)</f>
        <v/>
      </c>
      <c r="H49" s="10" t="str">
        <f aca="false">IF(A49="","",商品目录!I49)</f>
        <v/>
      </c>
      <c r="I49" s="10" t="str">
        <f aca="false">IF(A49="","",IF(ISNUMBER(H49),IF(G49&lt;H49,"该补货",""),""))</f>
        <v/>
      </c>
    </row>
    <row r="50" customFormat="false" ht="15" hidden="false" customHeight="false" outlineLevel="0" collapsed="false">
      <c r="A50" s="10" t="str">
        <f aca="false">IF(商品目录!B50="","",商品目录!B50)</f>
        <v/>
      </c>
      <c r="B50" s="10" t="str">
        <f aca="false">IF(A50="","",商品目录!C50)</f>
        <v/>
      </c>
      <c r="C50" s="10" t="str">
        <f aca="false">IF(A50="","",商品目录!D50)</f>
        <v/>
      </c>
      <c r="D50" s="15"/>
      <c r="E50" s="10" t="str">
        <f aca="false">IF(A50="","",SUMIFS(采购记录!$D$2:$D$500,采购记录!$B$2:$B$500,A50,采购记录!$C$2:$C$500,B50))</f>
        <v/>
      </c>
      <c r="F50" s="10" t="str">
        <f aca="false">IF(A50="","",SUMIFS(订单登记!$F$2:$F$500,订单登记!$D$2:$D$500,A50,订单登记!$E$2:$E$500,B50))</f>
        <v/>
      </c>
      <c r="G50" s="10" t="str">
        <f aca="false">IF(A50="","",N(D50)+E50-F50)</f>
        <v/>
      </c>
      <c r="H50" s="10" t="str">
        <f aca="false">IF(A50="","",商品目录!I50)</f>
        <v/>
      </c>
      <c r="I50" s="10" t="str">
        <f aca="false">IF(A50="","",IF(ISNUMBER(H50),IF(G50&lt;H50,"该补货",""),""))</f>
        <v/>
      </c>
    </row>
    <row r="51" customFormat="false" ht="15" hidden="false" customHeight="false" outlineLevel="0" collapsed="false">
      <c r="A51" s="10" t="str">
        <f aca="false">IF(商品目录!B51="","",商品目录!B51)</f>
        <v/>
      </c>
      <c r="B51" s="10" t="str">
        <f aca="false">IF(A51="","",商品目录!C51)</f>
        <v/>
      </c>
      <c r="C51" s="10" t="str">
        <f aca="false">IF(A51="","",商品目录!D51)</f>
        <v/>
      </c>
      <c r="D51" s="15"/>
      <c r="E51" s="10" t="str">
        <f aca="false">IF(A51="","",SUMIFS(采购记录!$D$2:$D$500,采购记录!$B$2:$B$500,A51,采购记录!$C$2:$C$500,B51))</f>
        <v/>
      </c>
      <c r="F51" s="10" t="str">
        <f aca="false">IF(A51="","",SUMIFS(订单登记!$F$2:$F$500,订单登记!$D$2:$D$500,A51,订单登记!$E$2:$E$500,B51))</f>
        <v/>
      </c>
      <c r="G51" s="10" t="str">
        <f aca="false">IF(A51="","",N(D51)+E51-F51)</f>
        <v/>
      </c>
      <c r="H51" s="10" t="str">
        <f aca="false">IF(A51="","",商品目录!I51)</f>
        <v/>
      </c>
      <c r="I51" s="10" t="str">
        <f aca="false">IF(A51="","",IF(ISNUMBER(H51),IF(G51&lt;H51,"该补货",""),""))</f>
        <v/>
      </c>
    </row>
    <row r="52" customFormat="false" ht="15" hidden="false" customHeight="false" outlineLevel="0" collapsed="false">
      <c r="A52" s="10" t="str">
        <f aca="false">IF(商品目录!B52="","",商品目录!B52)</f>
        <v/>
      </c>
      <c r="B52" s="10" t="str">
        <f aca="false">IF(A52="","",商品目录!C52)</f>
        <v/>
      </c>
      <c r="C52" s="10" t="str">
        <f aca="false">IF(A52="","",商品目录!D52)</f>
        <v/>
      </c>
      <c r="D52" s="15"/>
      <c r="E52" s="10" t="str">
        <f aca="false">IF(A52="","",SUMIFS(采购记录!$D$2:$D$500,采购记录!$B$2:$B$500,A52,采购记录!$C$2:$C$500,B52))</f>
        <v/>
      </c>
      <c r="F52" s="10" t="str">
        <f aca="false">IF(A52="","",SUMIFS(订单登记!$F$2:$F$500,订单登记!$D$2:$D$500,A52,订单登记!$E$2:$E$500,B52))</f>
        <v/>
      </c>
      <c r="G52" s="10" t="str">
        <f aca="false">IF(A52="","",N(D52)+E52-F52)</f>
        <v/>
      </c>
      <c r="H52" s="10" t="str">
        <f aca="false">IF(A52="","",商品目录!I52)</f>
        <v/>
      </c>
      <c r="I52" s="10" t="str">
        <f aca="false">IF(A52="","",IF(ISNUMBER(H52),IF(G52&lt;H52,"该补货",""),""))</f>
        <v/>
      </c>
    </row>
    <row r="53" customFormat="false" ht="15" hidden="false" customHeight="false" outlineLevel="0" collapsed="false">
      <c r="A53" s="10" t="str">
        <f aca="false">IF(商品目录!B53="","",商品目录!B53)</f>
        <v/>
      </c>
      <c r="B53" s="10" t="str">
        <f aca="false">IF(A53="","",商品目录!C53)</f>
        <v/>
      </c>
      <c r="C53" s="10" t="str">
        <f aca="false">IF(A53="","",商品目录!D53)</f>
        <v/>
      </c>
      <c r="D53" s="15"/>
      <c r="E53" s="10" t="str">
        <f aca="false">IF(A53="","",SUMIFS(采购记录!$D$2:$D$500,采购记录!$B$2:$B$500,A53,采购记录!$C$2:$C$500,B53))</f>
        <v/>
      </c>
      <c r="F53" s="10" t="str">
        <f aca="false">IF(A53="","",SUMIFS(订单登记!$F$2:$F$500,订单登记!$D$2:$D$500,A53,订单登记!$E$2:$E$500,B53))</f>
        <v/>
      </c>
      <c r="G53" s="10" t="str">
        <f aca="false">IF(A53="","",N(D53)+E53-F53)</f>
        <v/>
      </c>
      <c r="H53" s="10" t="str">
        <f aca="false">IF(A53="","",商品目录!I53)</f>
        <v/>
      </c>
      <c r="I53" s="10" t="str">
        <f aca="false">IF(A53="","",IF(ISNUMBER(H53),IF(G53&lt;H53,"该补货",""),""))</f>
        <v/>
      </c>
    </row>
    <row r="54" customFormat="false" ht="15" hidden="false" customHeight="false" outlineLevel="0" collapsed="false">
      <c r="A54" s="10" t="str">
        <f aca="false">IF(商品目录!B54="","",商品目录!B54)</f>
        <v/>
      </c>
      <c r="B54" s="10" t="str">
        <f aca="false">IF(A54="","",商品目录!C54)</f>
        <v/>
      </c>
      <c r="C54" s="10" t="str">
        <f aca="false">IF(A54="","",商品目录!D54)</f>
        <v/>
      </c>
      <c r="D54" s="15"/>
      <c r="E54" s="10" t="str">
        <f aca="false">IF(A54="","",SUMIFS(采购记录!$D$2:$D$500,采购记录!$B$2:$B$500,A54,采购记录!$C$2:$C$500,B54))</f>
        <v/>
      </c>
      <c r="F54" s="10" t="str">
        <f aca="false">IF(A54="","",SUMIFS(订单登记!$F$2:$F$500,订单登记!$D$2:$D$500,A54,订单登记!$E$2:$E$500,B54))</f>
        <v/>
      </c>
      <c r="G54" s="10" t="str">
        <f aca="false">IF(A54="","",N(D54)+E54-F54)</f>
        <v/>
      </c>
      <c r="H54" s="10" t="str">
        <f aca="false">IF(A54="","",商品目录!I54)</f>
        <v/>
      </c>
      <c r="I54" s="10" t="str">
        <f aca="false">IF(A54="","",IF(ISNUMBER(H54),IF(G54&lt;H54,"该补货",""),""))</f>
        <v/>
      </c>
    </row>
    <row r="55" customFormat="false" ht="15" hidden="false" customHeight="false" outlineLevel="0" collapsed="false">
      <c r="A55" s="10" t="str">
        <f aca="false">IF(商品目录!B55="","",商品目录!B55)</f>
        <v/>
      </c>
      <c r="B55" s="10" t="str">
        <f aca="false">IF(A55="","",商品目录!C55)</f>
        <v/>
      </c>
      <c r="C55" s="10" t="str">
        <f aca="false">IF(A55="","",商品目录!D55)</f>
        <v/>
      </c>
      <c r="D55" s="15"/>
      <c r="E55" s="10" t="str">
        <f aca="false">IF(A55="","",SUMIFS(采购记录!$D$2:$D$500,采购记录!$B$2:$B$500,A55,采购记录!$C$2:$C$500,B55))</f>
        <v/>
      </c>
      <c r="F55" s="10" t="str">
        <f aca="false">IF(A55="","",SUMIFS(订单登记!$F$2:$F$500,订单登记!$D$2:$D$500,A55,订单登记!$E$2:$E$500,B55))</f>
        <v/>
      </c>
      <c r="G55" s="10" t="str">
        <f aca="false">IF(A55="","",N(D55)+E55-F55)</f>
        <v/>
      </c>
      <c r="H55" s="10" t="str">
        <f aca="false">IF(A55="","",商品目录!I55)</f>
        <v/>
      </c>
      <c r="I55" s="10" t="str">
        <f aca="false">IF(A55="","",IF(ISNUMBER(H55),IF(G55&lt;H55,"该补货",""),""))</f>
        <v/>
      </c>
    </row>
    <row r="56" customFormat="false" ht="15" hidden="false" customHeight="false" outlineLevel="0" collapsed="false">
      <c r="A56" s="10" t="str">
        <f aca="false">IF(商品目录!B56="","",商品目录!B56)</f>
        <v/>
      </c>
      <c r="B56" s="10" t="str">
        <f aca="false">IF(A56="","",商品目录!C56)</f>
        <v/>
      </c>
      <c r="C56" s="10" t="str">
        <f aca="false">IF(A56="","",商品目录!D56)</f>
        <v/>
      </c>
      <c r="D56" s="15"/>
      <c r="E56" s="10" t="str">
        <f aca="false">IF(A56="","",SUMIFS(采购记录!$D$2:$D$500,采购记录!$B$2:$B$500,A56,采购记录!$C$2:$C$500,B56))</f>
        <v/>
      </c>
      <c r="F56" s="10" t="str">
        <f aca="false">IF(A56="","",SUMIFS(订单登记!$F$2:$F$500,订单登记!$D$2:$D$500,A56,订单登记!$E$2:$E$500,B56))</f>
        <v/>
      </c>
      <c r="G56" s="10" t="str">
        <f aca="false">IF(A56="","",N(D56)+E56-F56)</f>
        <v/>
      </c>
      <c r="H56" s="10" t="str">
        <f aca="false">IF(A56="","",商品目录!I56)</f>
        <v/>
      </c>
      <c r="I56" s="10" t="str">
        <f aca="false">IF(A56="","",IF(ISNUMBER(H56),IF(G56&lt;H56,"该补货",""),""))</f>
        <v/>
      </c>
    </row>
    <row r="57" customFormat="false" ht="15" hidden="false" customHeight="false" outlineLevel="0" collapsed="false">
      <c r="A57" s="10" t="str">
        <f aca="false">IF(商品目录!B57="","",商品目录!B57)</f>
        <v/>
      </c>
      <c r="B57" s="10" t="str">
        <f aca="false">IF(A57="","",商品目录!C57)</f>
        <v/>
      </c>
      <c r="C57" s="10" t="str">
        <f aca="false">IF(A57="","",商品目录!D57)</f>
        <v/>
      </c>
      <c r="D57" s="15"/>
      <c r="E57" s="10" t="str">
        <f aca="false">IF(A57="","",SUMIFS(采购记录!$D$2:$D$500,采购记录!$B$2:$B$500,A57,采购记录!$C$2:$C$500,B57))</f>
        <v/>
      </c>
      <c r="F57" s="10" t="str">
        <f aca="false">IF(A57="","",SUMIFS(订单登记!$F$2:$F$500,订单登记!$D$2:$D$500,A57,订单登记!$E$2:$E$500,B57))</f>
        <v/>
      </c>
      <c r="G57" s="10" t="str">
        <f aca="false">IF(A57="","",N(D57)+E57-F57)</f>
        <v/>
      </c>
      <c r="H57" s="10" t="str">
        <f aca="false">IF(A57="","",商品目录!I57)</f>
        <v/>
      </c>
      <c r="I57" s="10" t="str">
        <f aca="false">IF(A57="","",IF(ISNUMBER(H57),IF(G57&lt;H57,"该补货",""),""))</f>
        <v/>
      </c>
    </row>
    <row r="58" customFormat="false" ht="15" hidden="false" customHeight="false" outlineLevel="0" collapsed="false">
      <c r="A58" s="10" t="str">
        <f aca="false">IF(商品目录!B58="","",商品目录!B58)</f>
        <v/>
      </c>
      <c r="B58" s="10" t="str">
        <f aca="false">IF(A58="","",商品目录!C58)</f>
        <v/>
      </c>
      <c r="C58" s="10" t="str">
        <f aca="false">IF(A58="","",商品目录!D58)</f>
        <v/>
      </c>
      <c r="D58" s="15"/>
      <c r="E58" s="10" t="str">
        <f aca="false">IF(A58="","",SUMIFS(采购记录!$D$2:$D$500,采购记录!$B$2:$B$500,A58,采购记录!$C$2:$C$500,B58))</f>
        <v/>
      </c>
      <c r="F58" s="10" t="str">
        <f aca="false">IF(A58="","",SUMIFS(订单登记!$F$2:$F$500,订单登记!$D$2:$D$500,A58,订单登记!$E$2:$E$500,B58))</f>
        <v/>
      </c>
      <c r="G58" s="10" t="str">
        <f aca="false">IF(A58="","",N(D58)+E58-F58)</f>
        <v/>
      </c>
      <c r="H58" s="10" t="str">
        <f aca="false">IF(A58="","",商品目录!I58)</f>
        <v/>
      </c>
      <c r="I58" s="10" t="str">
        <f aca="false">IF(A58="","",IF(ISNUMBER(H58),IF(G58&lt;H58,"该补货",""),""))</f>
        <v/>
      </c>
    </row>
    <row r="59" customFormat="false" ht="15" hidden="false" customHeight="false" outlineLevel="0" collapsed="false">
      <c r="A59" s="10" t="str">
        <f aca="false">IF(商品目录!B59="","",商品目录!B59)</f>
        <v/>
      </c>
      <c r="B59" s="10" t="str">
        <f aca="false">IF(A59="","",商品目录!C59)</f>
        <v/>
      </c>
      <c r="C59" s="10" t="str">
        <f aca="false">IF(A59="","",商品目录!D59)</f>
        <v/>
      </c>
      <c r="D59" s="15"/>
      <c r="E59" s="10" t="str">
        <f aca="false">IF(A59="","",SUMIFS(采购记录!$D$2:$D$500,采购记录!$B$2:$B$500,A59,采购记录!$C$2:$C$500,B59))</f>
        <v/>
      </c>
      <c r="F59" s="10" t="str">
        <f aca="false">IF(A59="","",SUMIFS(订单登记!$F$2:$F$500,订单登记!$D$2:$D$500,A59,订单登记!$E$2:$E$500,B59))</f>
        <v/>
      </c>
      <c r="G59" s="10" t="str">
        <f aca="false">IF(A59="","",N(D59)+E59-F59)</f>
        <v/>
      </c>
      <c r="H59" s="10" t="str">
        <f aca="false">IF(A59="","",商品目录!I59)</f>
        <v/>
      </c>
      <c r="I59" s="10" t="str">
        <f aca="false">IF(A59="","",IF(ISNUMBER(H59),IF(G59&lt;H59,"该补货",""),""))</f>
        <v/>
      </c>
    </row>
    <row r="60" customFormat="false" ht="15" hidden="false" customHeight="false" outlineLevel="0" collapsed="false">
      <c r="A60" s="10" t="str">
        <f aca="false">IF(商品目录!B60="","",商品目录!B60)</f>
        <v/>
      </c>
      <c r="B60" s="10" t="str">
        <f aca="false">IF(A60="","",商品目录!C60)</f>
        <v/>
      </c>
      <c r="C60" s="10" t="str">
        <f aca="false">IF(A60="","",商品目录!D60)</f>
        <v/>
      </c>
      <c r="D60" s="15"/>
      <c r="E60" s="10" t="str">
        <f aca="false">IF(A60="","",SUMIFS(采购记录!$D$2:$D$500,采购记录!$B$2:$B$500,A60,采购记录!$C$2:$C$500,B60))</f>
        <v/>
      </c>
      <c r="F60" s="10" t="str">
        <f aca="false">IF(A60="","",SUMIFS(订单登记!$F$2:$F$500,订单登记!$D$2:$D$500,A60,订单登记!$E$2:$E$500,B60))</f>
        <v/>
      </c>
      <c r="G60" s="10" t="str">
        <f aca="false">IF(A60="","",N(D60)+E60-F60)</f>
        <v/>
      </c>
      <c r="H60" s="10" t="str">
        <f aca="false">IF(A60="","",商品目录!I60)</f>
        <v/>
      </c>
      <c r="I60" s="10" t="str">
        <f aca="false">IF(A60="","",IF(ISNUMBER(H60),IF(G60&lt;H60,"该补货",""),""))</f>
        <v/>
      </c>
    </row>
    <row r="61" customFormat="false" ht="15" hidden="false" customHeight="false" outlineLevel="0" collapsed="false">
      <c r="A61" s="10" t="str">
        <f aca="false">IF(商品目录!B61="","",商品目录!B61)</f>
        <v/>
      </c>
      <c r="B61" s="10" t="str">
        <f aca="false">IF(A61="","",商品目录!C61)</f>
        <v/>
      </c>
      <c r="C61" s="10" t="str">
        <f aca="false">IF(A61="","",商品目录!D61)</f>
        <v/>
      </c>
      <c r="D61" s="15"/>
      <c r="E61" s="10" t="str">
        <f aca="false">IF(A61="","",SUMIFS(采购记录!$D$2:$D$500,采购记录!$B$2:$B$500,A61,采购记录!$C$2:$C$500,B61))</f>
        <v/>
      </c>
      <c r="F61" s="10" t="str">
        <f aca="false">IF(A61="","",SUMIFS(订单登记!$F$2:$F$500,订单登记!$D$2:$D$500,A61,订单登记!$E$2:$E$500,B61))</f>
        <v/>
      </c>
      <c r="G61" s="10" t="str">
        <f aca="false">IF(A61="","",N(D61)+E61-F61)</f>
        <v/>
      </c>
      <c r="H61" s="10" t="str">
        <f aca="false">IF(A61="","",商品目录!I61)</f>
        <v/>
      </c>
      <c r="I61" s="10" t="str">
        <f aca="false">IF(A61="","",IF(ISNUMBER(H61),IF(G61&lt;H61,"该补货",""),""))</f>
        <v/>
      </c>
    </row>
    <row r="62" customFormat="false" ht="15" hidden="false" customHeight="false" outlineLevel="0" collapsed="false">
      <c r="A62" s="10" t="str">
        <f aca="false">IF(商品目录!B62="","",商品目录!B62)</f>
        <v/>
      </c>
      <c r="B62" s="10" t="str">
        <f aca="false">IF(A62="","",商品目录!C62)</f>
        <v/>
      </c>
      <c r="C62" s="10" t="str">
        <f aca="false">IF(A62="","",商品目录!D62)</f>
        <v/>
      </c>
      <c r="D62" s="15"/>
      <c r="E62" s="10" t="str">
        <f aca="false">IF(A62="","",SUMIFS(采购记录!$D$2:$D$500,采购记录!$B$2:$B$500,A62,采购记录!$C$2:$C$500,B62))</f>
        <v/>
      </c>
      <c r="F62" s="10" t="str">
        <f aca="false">IF(A62="","",SUMIFS(订单登记!$F$2:$F$500,订单登记!$D$2:$D$500,A62,订单登记!$E$2:$E$500,B62))</f>
        <v/>
      </c>
      <c r="G62" s="10" t="str">
        <f aca="false">IF(A62="","",N(D62)+E62-F62)</f>
        <v/>
      </c>
      <c r="H62" s="10" t="str">
        <f aca="false">IF(A62="","",商品目录!I62)</f>
        <v/>
      </c>
      <c r="I62" s="10" t="str">
        <f aca="false">IF(A62="","",IF(ISNUMBER(H62),IF(G62&lt;H62,"该补货",""),""))</f>
        <v/>
      </c>
    </row>
    <row r="63" customFormat="false" ht="15" hidden="false" customHeight="false" outlineLevel="0" collapsed="false">
      <c r="A63" s="10" t="str">
        <f aca="false">IF(商品目录!B63="","",商品目录!B63)</f>
        <v/>
      </c>
      <c r="B63" s="10" t="str">
        <f aca="false">IF(A63="","",商品目录!C63)</f>
        <v/>
      </c>
      <c r="C63" s="10" t="str">
        <f aca="false">IF(A63="","",商品目录!D63)</f>
        <v/>
      </c>
      <c r="D63" s="15"/>
      <c r="E63" s="10" t="str">
        <f aca="false">IF(A63="","",SUMIFS(采购记录!$D$2:$D$500,采购记录!$B$2:$B$500,A63,采购记录!$C$2:$C$500,B63))</f>
        <v/>
      </c>
      <c r="F63" s="10" t="str">
        <f aca="false">IF(A63="","",SUMIFS(订单登记!$F$2:$F$500,订单登记!$D$2:$D$500,A63,订单登记!$E$2:$E$500,B63))</f>
        <v/>
      </c>
      <c r="G63" s="10" t="str">
        <f aca="false">IF(A63="","",N(D63)+E63-F63)</f>
        <v/>
      </c>
      <c r="H63" s="10" t="str">
        <f aca="false">IF(A63="","",商品目录!I63)</f>
        <v/>
      </c>
      <c r="I63" s="10" t="str">
        <f aca="false">IF(A63="","",IF(ISNUMBER(H63),IF(G63&lt;H63,"该补货",""),""))</f>
        <v/>
      </c>
    </row>
    <row r="64" customFormat="false" ht="15" hidden="false" customHeight="false" outlineLevel="0" collapsed="false">
      <c r="A64" s="10" t="str">
        <f aca="false">IF(商品目录!B64="","",商品目录!B64)</f>
        <v/>
      </c>
      <c r="B64" s="10" t="str">
        <f aca="false">IF(A64="","",商品目录!C64)</f>
        <v/>
      </c>
      <c r="C64" s="10" t="str">
        <f aca="false">IF(A64="","",商品目录!D64)</f>
        <v/>
      </c>
      <c r="D64" s="15"/>
      <c r="E64" s="10" t="str">
        <f aca="false">IF(A64="","",SUMIFS(采购记录!$D$2:$D$500,采购记录!$B$2:$B$500,A64,采购记录!$C$2:$C$500,B64))</f>
        <v/>
      </c>
      <c r="F64" s="10" t="str">
        <f aca="false">IF(A64="","",SUMIFS(订单登记!$F$2:$F$500,订单登记!$D$2:$D$500,A64,订单登记!$E$2:$E$500,B64))</f>
        <v/>
      </c>
      <c r="G64" s="10" t="str">
        <f aca="false">IF(A64="","",N(D64)+E64-F64)</f>
        <v/>
      </c>
      <c r="H64" s="10" t="str">
        <f aca="false">IF(A64="","",商品目录!I64)</f>
        <v/>
      </c>
      <c r="I64" s="10" t="str">
        <f aca="false">IF(A64="","",IF(ISNUMBER(H64),IF(G64&lt;H64,"该补货",""),""))</f>
        <v/>
      </c>
    </row>
    <row r="65" customFormat="false" ht="15" hidden="false" customHeight="false" outlineLevel="0" collapsed="false">
      <c r="A65" s="10" t="str">
        <f aca="false">IF(商品目录!B65="","",商品目录!B65)</f>
        <v/>
      </c>
      <c r="B65" s="10" t="str">
        <f aca="false">IF(A65="","",商品目录!C65)</f>
        <v/>
      </c>
      <c r="C65" s="10" t="str">
        <f aca="false">IF(A65="","",商品目录!D65)</f>
        <v/>
      </c>
      <c r="D65" s="15"/>
      <c r="E65" s="10" t="str">
        <f aca="false">IF(A65="","",SUMIFS(采购记录!$D$2:$D$500,采购记录!$B$2:$B$500,A65,采购记录!$C$2:$C$500,B65))</f>
        <v/>
      </c>
      <c r="F65" s="10" t="str">
        <f aca="false">IF(A65="","",SUMIFS(订单登记!$F$2:$F$500,订单登记!$D$2:$D$500,A65,订单登记!$E$2:$E$500,B65))</f>
        <v/>
      </c>
      <c r="G65" s="10" t="str">
        <f aca="false">IF(A65="","",N(D65)+E65-F65)</f>
        <v/>
      </c>
      <c r="H65" s="10" t="str">
        <f aca="false">IF(A65="","",商品目录!I65)</f>
        <v/>
      </c>
      <c r="I65" s="10" t="str">
        <f aca="false">IF(A65="","",IF(ISNUMBER(H65),IF(G65&lt;H65,"该补货",""),""))</f>
        <v/>
      </c>
    </row>
    <row r="66" customFormat="false" ht="15" hidden="false" customHeight="false" outlineLevel="0" collapsed="false">
      <c r="A66" s="10" t="str">
        <f aca="false">IF(商品目录!B66="","",商品目录!B66)</f>
        <v/>
      </c>
      <c r="B66" s="10" t="str">
        <f aca="false">IF(A66="","",商品目录!C66)</f>
        <v/>
      </c>
      <c r="C66" s="10" t="str">
        <f aca="false">IF(A66="","",商品目录!D66)</f>
        <v/>
      </c>
      <c r="D66" s="15"/>
      <c r="E66" s="10" t="str">
        <f aca="false">IF(A66="","",SUMIFS(采购记录!$D$2:$D$500,采购记录!$B$2:$B$500,A66,采购记录!$C$2:$C$500,B66))</f>
        <v/>
      </c>
      <c r="F66" s="10" t="str">
        <f aca="false">IF(A66="","",SUMIFS(订单登记!$F$2:$F$500,订单登记!$D$2:$D$500,A66,订单登记!$E$2:$E$500,B66))</f>
        <v/>
      </c>
      <c r="G66" s="10" t="str">
        <f aca="false">IF(A66="","",N(D66)+E66-F66)</f>
        <v/>
      </c>
      <c r="H66" s="10" t="str">
        <f aca="false">IF(A66="","",商品目录!I66)</f>
        <v/>
      </c>
      <c r="I66" s="10" t="str">
        <f aca="false">IF(A66="","",IF(ISNUMBER(H66),IF(G66&lt;H66,"该补货",""),""))</f>
        <v/>
      </c>
    </row>
    <row r="67" customFormat="false" ht="15" hidden="false" customHeight="false" outlineLevel="0" collapsed="false">
      <c r="A67" s="10" t="str">
        <f aca="false">IF(商品目录!B67="","",商品目录!B67)</f>
        <v/>
      </c>
      <c r="B67" s="10" t="str">
        <f aca="false">IF(A67="","",商品目录!C67)</f>
        <v/>
      </c>
      <c r="C67" s="10" t="str">
        <f aca="false">IF(A67="","",商品目录!D67)</f>
        <v/>
      </c>
      <c r="D67" s="15"/>
      <c r="E67" s="10" t="str">
        <f aca="false">IF(A67="","",SUMIFS(采购记录!$D$2:$D$500,采购记录!$B$2:$B$500,A67,采购记录!$C$2:$C$500,B67))</f>
        <v/>
      </c>
      <c r="F67" s="10" t="str">
        <f aca="false">IF(A67="","",SUMIFS(订单登记!$F$2:$F$500,订单登记!$D$2:$D$500,A67,订单登记!$E$2:$E$500,B67))</f>
        <v/>
      </c>
      <c r="G67" s="10" t="str">
        <f aca="false">IF(A67="","",N(D67)+E67-F67)</f>
        <v/>
      </c>
      <c r="H67" s="10" t="str">
        <f aca="false">IF(A67="","",商品目录!I67)</f>
        <v/>
      </c>
      <c r="I67" s="10" t="str">
        <f aca="false">IF(A67="","",IF(ISNUMBER(H67),IF(G67&lt;H67,"该补货",""),""))</f>
        <v/>
      </c>
    </row>
    <row r="68" customFormat="false" ht="15" hidden="false" customHeight="false" outlineLevel="0" collapsed="false">
      <c r="A68" s="10" t="str">
        <f aca="false">IF(商品目录!B68="","",商品目录!B68)</f>
        <v/>
      </c>
      <c r="B68" s="10" t="str">
        <f aca="false">IF(A68="","",商品目录!C68)</f>
        <v/>
      </c>
      <c r="C68" s="10" t="str">
        <f aca="false">IF(A68="","",商品目录!D68)</f>
        <v/>
      </c>
      <c r="D68" s="15"/>
      <c r="E68" s="10" t="str">
        <f aca="false">IF(A68="","",SUMIFS(采购记录!$D$2:$D$500,采购记录!$B$2:$B$500,A68,采购记录!$C$2:$C$500,B68))</f>
        <v/>
      </c>
      <c r="F68" s="10" t="str">
        <f aca="false">IF(A68="","",SUMIFS(订单登记!$F$2:$F$500,订单登记!$D$2:$D$500,A68,订单登记!$E$2:$E$500,B68))</f>
        <v/>
      </c>
      <c r="G68" s="10" t="str">
        <f aca="false">IF(A68="","",N(D68)+E68-F68)</f>
        <v/>
      </c>
      <c r="H68" s="10" t="str">
        <f aca="false">IF(A68="","",商品目录!I68)</f>
        <v/>
      </c>
      <c r="I68" s="10" t="str">
        <f aca="false">IF(A68="","",IF(ISNUMBER(H68),IF(G68&lt;H68,"该补货",""),""))</f>
        <v/>
      </c>
    </row>
    <row r="69" customFormat="false" ht="15" hidden="false" customHeight="false" outlineLevel="0" collapsed="false">
      <c r="A69" s="10" t="str">
        <f aca="false">IF(商品目录!B69="","",商品目录!B69)</f>
        <v/>
      </c>
      <c r="B69" s="10" t="str">
        <f aca="false">IF(A69="","",商品目录!C69)</f>
        <v/>
      </c>
      <c r="C69" s="10" t="str">
        <f aca="false">IF(A69="","",商品目录!D69)</f>
        <v/>
      </c>
      <c r="D69" s="15"/>
      <c r="E69" s="10" t="str">
        <f aca="false">IF(A69="","",SUMIFS(采购记录!$D$2:$D$500,采购记录!$B$2:$B$500,A69,采购记录!$C$2:$C$500,B69))</f>
        <v/>
      </c>
      <c r="F69" s="10" t="str">
        <f aca="false">IF(A69="","",SUMIFS(订单登记!$F$2:$F$500,订单登记!$D$2:$D$500,A69,订单登记!$E$2:$E$500,B69))</f>
        <v/>
      </c>
      <c r="G69" s="10" t="str">
        <f aca="false">IF(A69="","",N(D69)+E69-F69)</f>
        <v/>
      </c>
      <c r="H69" s="10" t="str">
        <f aca="false">IF(A69="","",商品目录!I69)</f>
        <v/>
      </c>
      <c r="I69" s="10" t="str">
        <f aca="false">IF(A69="","",IF(ISNUMBER(H69),IF(G69&lt;H69,"该补货",""),""))</f>
        <v/>
      </c>
    </row>
    <row r="70" customFormat="false" ht="15" hidden="false" customHeight="false" outlineLevel="0" collapsed="false">
      <c r="A70" s="10" t="str">
        <f aca="false">IF(商品目录!B70="","",商品目录!B70)</f>
        <v/>
      </c>
      <c r="B70" s="10" t="str">
        <f aca="false">IF(A70="","",商品目录!C70)</f>
        <v/>
      </c>
      <c r="C70" s="10" t="str">
        <f aca="false">IF(A70="","",商品目录!D70)</f>
        <v/>
      </c>
      <c r="D70" s="15"/>
      <c r="E70" s="10" t="str">
        <f aca="false">IF(A70="","",SUMIFS(采购记录!$D$2:$D$500,采购记录!$B$2:$B$500,A70,采购记录!$C$2:$C$500,B70))</f>
        <v/>
      </c>
      <c r="F70" s="10" t="str">
        <f aca="false">IF(A70="","",SUMIFS(订单登记!$F$2:$F$500,订单登记!$D$2:$D$500,A70,订单登记!$E$2:$E$500,B70))</f>
        <v/>
      </c>
      <c r="G70" s="10" t="str">
        <f aca="false">IF(A70="","",N(D70)+E70-F70)</f>
        <v/>
      </c>
      <c r="H70" s="10" t="str">
        <f aca="false">IF(A70="","",商品目录!I70)</f>
        <v/>
      </c>
      <c r="I70" s="10" t="str">
        <f aca="false">IF(A70="","",IF(ISNUMBER(H70),IF(G70&lt;H70,"该补货",""),""))</f>
        <v/>
      </c>
    </row>
    <row r="71" customFormat="false" ht="15" hidden="false" customHeight="false" outlineLevel="0" collapsed="false">
      <c r="A71" s="10" t="str">
        <f aca="false">IF(商品目录!B71="","",商品目录!B71)</f>
        <v/>
      </c>
      <c r="B71" s="10" t="str">
        <f aca="false">IF(A71="","",商品目录!C71)</f>
        <v/>
      </c>
      <c r="C71" s="10" t="str">
        <f aca="false">IF(A71="","",商品目录!D71)</f>
        <v/>
      </c>
      <c r="D71" s="15"/>
      <c r="E71" s="10" t="str">
        <f aca="false">IF(A71="","",SUMIFS(采购记录!$D$2:$D$500,采购记录!$B$2:$B$500,A71,采购记录!$C$2:$C$500,B71))</f>
        <v/>
      </c>
      <c r="F71" s="10" t="str">
        <f aca="false">IF(A71="","",SUMIFS(订单登记!$F$2:$F$500,订单登记!$D$2:$D$500,A71,订单登记!$E$2:$E$500,B71))</f>
        <v/>
      </c>
      <c r="G71" s="10" t="str">
        <f aca="false">IF(A71="","",N(D71)+E71-F71)</f>
        <v/>
      </c>
      <c r="H71" s="10" t="str">
        <f aca="false">IF(A71="","",商品目录!I71)</f>
        <v/>
      </c>
      <c r="I71" s="10" t="str">
        <f aca="false">IF(A71="","",IF(ISNUMBER(H71),IF(G71&lt;H71,"该补货",""),""))</f>
        <v/>
      </c>
    </row>
    <row r="72" customFormat="false" ht="15" hidden="false" customHeight="false" outlineLevel="0" collapsed="false">
      <c r="A72" s="10" t="str">
        <f aca="false">IF(商品目录!B72="","",商品目录!B72)</f>
        <v/>
      </c>
      <c r="B72" s="10" t="str">
        <f aca="false">IF(A72="","",商品目录!C72)</f>
        <v/>
      </c>
      <c r="C72" s="10" t="str">
        <f aca="false">IF(A72="","",商品目录!D72)</f>
        <v/>
      </c>
      <c r="D72" s="15"/>
      <c r="E72" s="10" t="str">
        <f aca="false">IF(A72="","",SUMIFS(采购记录!$D$2:$D$500,采购记录!$B$2:$B$500,A72,采购记录!$C$2:$C$500,B72))</f>
        <v/>
      </c>
      <c r="F72" s="10" t="str">
        <f aca="false">IF(A72="","",SUMIFS(订单登记!$F$2:$F$500,订单登记!$D$2:$D$500,A72,订单登记!$E$2:$E$500,B72))</f>
        <v/>
      </c>
      <c r="G72" s="10" t="str">
        <f aca="false">IF(A72="","",N(D72)+E72-F72)</f>
        <v/>
      </c>
      <c r="H72" s="10" t="str">
        <f aca="false">IF(A72="","",商品目录!I72)</f>
        <v/>
      </c>
      <c r="I72" s="10" t="str">
        <f aca="false">IF(A72="","",IF(ISNUMBER(H72),IF(G72&lt;H72,"该补货",""),""))</f>
        <v/>
      </c>
    </row>
    <row r="73" customFormat="false" ht="15" hidden="false" customHeight="false" outlineLevel="0" collapsed="false">
      <c r="A73" s="10" t="str">
        <f aca="false">IF(商品目录!B73="","",商品目录!B73)</f>
        <v/>
      </c>
      <c r="B73" s="10" t="str">
        <f aca="false">IF(A73="","",商品目录!C73)</f>
        <v/>
      </c>
      <c r="C73" s="10" t="str">
        <f aca="false">IF(A73="","",商品目录!D73)</f>
        <v/>
      </c>
      <c r="D73" s="15"/>
      <c r="E73" s="10" t="str">
        <f aca="false">IF(A73="","",SUMIFS(采购记录!$D$2:$D$500,采购记录!$B$2:$B$500,A73,采购记录!$C$2:$C$500,B73))</f>
        <v/>
      </c>
      <c r="F73" s="10" t="str">
        <f aca="false">IF(A73="","",SUMIFS(订单登记!$F$2:$F$500,订单登记!$D$2:$D$500,A73,订单登记!$E$2:$E$500,B73))</f>
        <v/>
      </c>
      <c r="G73" s="10" t="str">
        <f aca="false">IF(A73="","",N(D73)+E73-F73)</f>
        <v/>
      </c>
      <c r="H73" s="10" t="str">
        <f aca="false">IF(A73="","",商品目录!I73)</f>
        <v/>
      </c>
      <c r="I73" s="10" t="str">
        <f aca="false">IF(A73="","",IF(ISNUMBER(H73),IF(G73&lt;H73,"该补货",""),""))</f>
        <v/>
      </c>
    </row>
    <row r="74" customFormat="false" ht="15" hidden="false" customHeight="false" outlineLevel="0" collapsed="false">
      <c r="A74" s="10" t="str">
        <f aca="false">IF(商品目录!B74="","",商品目录!B74)</f>
        <v/>
      </c>
      <c r="B74" s="10" t="str">
        <f aca="false">IF(A74="","",商品目录!C74)</f>
        <v/>
      </c>
      <c r="C74" s="10" t="str">
        <f aca="false">IF(A74="","",商品目录!D74)</f>
        <v/>
      </c>
      <c r="D74" s="15"/>
      <c r="E74" s="10" t="str">
        <f aca="false">IF(A74="","",SUMIFS(采购记录!$D$2:$D$500,采购记录!$B$2:$B$500,A74,采购记录!$C$2:$C$500,B74))</f>
        <v/>
      </c>
      <c r="F74" s="10" t="str">
        <f aca="false">IF(A74="","",SUMIFS(订单登记!$F$2:$F$500,订单登记!$D$2:$D$500,A74,订单登记!$E$2:$E$500,B74))</f>
        <v/>
      </c>
      <c r="G74" s="10" t="str">
        <f aca="false">IF(A74="","",N(D74)+E74-F74)</f>
        <v/>
      </c>
      <c r="H74" s="10" t="str">
        <f aca="false">IF(A74="","",商品目录!I74)</f>
        <v/>
      </c>
      <c r="I74" s="10" t="str">
        <f aca="false">IF(A74="","",IF(ISNUMBER(H74),IF(G74&lt;H74,"该补货",""),""))</f>
        <v/>
      </c>
    </row>
    <row r="75" customFormat="false" ht="15" hidden="false" customHeight="false" outlineLevel="0" collapsed="false">
      <c r="A75" s="10" t="str">
        <f aca="false">IF(商品目录!B75="","",商品目录!B75)</f>
        <v/>
      </c>
      <c r="B75" s="10" t="str">
        <f aca="false">IF(A75="","",商品目录!C75)</f>
        <v/>
      </c>
      <c r="C75" s="10" t="str">
        <f aca="false">IF(A75="","",商品目录!D75)</f>
        <v/>
      </c>
      <c r="D75" s="15"/>
      <c r="E75" s="10" t="str">
        <f aca="false">IF(A75="","",SUMIFS(采购记录!$D$2:$D$500,采购记录!$B$2:$B$500,A75,采购记录!$C$2:$C$500,B75))</f>
        <v/>
      </c>
      <c r="F75" s="10" t="str">
        <f aca="false">IF(A75="","",SUMIFS(订单登记!$F$2:$F$500,订单登记!$D$2:$D$500,A75,订单登记!$E$2:$E$500,B75))</f>
        <v/>
      </c>
      <c r="G75" s="10" t="str">
        <f aca="false">IF(A75="","",N(D75)+E75-F75)</f>
        <v/>
      </c>
      <c r="H75" s="10" t="str">
        <f aca="false">IF(A75="","",商品目录!I75)</f>
        <v/>
      </c>
      <c r="I75" s="10" t="str">
        <f aca="false">IF(A75="","",IF(ISNUMBER(H75),IF(G75&lt;H75,"该补货",""),""))</f>
        <v/>
      </c>
    </row>
    <row r="76" customFormat="false" ht="15" hidden="false" customHeight="false" outlineLevel="0" collapsed="false">
      <c r="A76" s="10" t="str">
        <f aca="false">IF(商品目录!B76="","",商品目录!B76)</f>
        <v/>
      </c>
      <c r="B76" s="10" t="str">
        <f aca="false">IF(A76="","",商品目录!C76)</f>
        <v/>
      </c>
      <c r="C76" s="10" t="str">
        <f aca="false">IF(A76="","",商品目录!D76)</f>
        <v/>
      </c>
      <c r="D76" s="15"/>
      <c r="E76" s="10" t="str">
        <f aca="false">IF(A76="","",SUMIFS(采购记录!$D$2:$D$500,采购记录!$B$2:$B$500,A76,采购记录!$C$2:$C$500,B76))</f>
        <v/>
      </c>
      <c r="F76" s="10" t="str">
        <f aca="false">IF(A76="","",SUMIFS(订单登记!$F$2:$F$500,订单登记!$D$2:$D$500,A76,订单登记!$E$2:$E$500,B76))</f>
        <v/>
      </c>
      <c r="G76" s="10" t="str">
        <f aca="false">IF(A76="","",N(D76)+E76-F76)</f>
        <v/>
      </c>
      <c r="H76" s="10" t="str">
        <f aca="false">IF(A76="","",商品目录!I76)</f>
        <v/>
      </c>
      <c r="I76" s="10" t="str">
        <f aca="false">IF(A76="","",IF(ISNUMBER(H76),IF(G76&lt;H76,"该补货",""),""))</f>
        <v/>
      </c>
    </row>
    <row r="77" customFormat="false" ht="15" hidden="false" customHeight="false" outlineLevel="0" collapsed="false">
      <c r="A77" s="10" t="str">
        <f aca="false">IF(商品目录!B77="","",商品目录!B77)</f>
        <v/>
      </c>
      <c r="B77" s="10" t="str">
        <f aca="false">IF(A77="","",商品目录!C77)</f>
        <v/>
      </c>
      <c r="C77" s="10" t="str">
        <f aca="false">IF(A77="","",商品目录!D77)</f>
        <v/>
      </c>
      <c r="D77" s="15"/>
      <c r="E77" s="10" t="str">
        <f aca="false">IF(A77="","",SUMIFS(采购记录!$D$2:$D$500,采购记录!$B$2:$B$500,A77,采购记录!$C$2:$C$500,B77))</f>
        <v/>
      </c>
      <c r="F77" s="10" t="str">
        <f aca="false">IF(A77="","",SUMIFS(订单登记!$F$2:$F$500,订单登记!$D$2:$D$500,A77,订单登记!$E$2:$E$500,B77))</f>
        <v/>
      </c>
      <c r="G77" s="10" t="str">
        <f aca="false">IF(A77="","",N(D77)+E77-F77)</f>
        <v/>
      </c>
      <c r="H77" s="10" t="str">
        <f aca="false">IF(A77="","",商品目录!I77)</f>
        <v/>
      </c>
      <c r="I77" s="10" t="str">
        <f aca="false">IF(A77="","",IF(ISNUMBER(H77),IF(G77&lt;H77,"该补货",""),""))</f>
        <v/>
      </c>
    </row>
    <row r="78" customFormat="false" ht="15" hidden="false" customHeight="false" outlineLevel="0" collapsed="false">
      <c r="A78" s="10" t="str">
        <f aca="false">IF(商品目录!B78="","",商品目录!B78)</f>
        <v/>
      </c>
      <c r="B78" s="10" t="str">
        <f aca="false">IF(A78="","",商品目录!C78)</f>
        <v/>
      </c>
      <c r="C78" s="10" t="str">
        <f aca="false">IF(A78="","",商品目录!D78)</f>
        <v/>
      </c>
      <c r="D78" s="15"/>
      <c r="E78" s="10" t="str">
        <f aca="false">IF(A78="","",SUMIFS(采购记录!$D$2:$D$500,采购记录!$B$2:$B$500,A78,采购记录!$C$2:$C$500,B78))</f>
        <v/>
      </c>
      <c r="F78" s="10" t="str">
        <f aca="false">IF(A78="","",SUMIFS(订单登记!$F$2:$F$500,订单登记!$D$2:$D$500,A78,订单登记!$E$2:$E$500,B78))</f>
        <v/>
      </c>
      <c r="G78" s="10" t="str">
        <f aca="false">IF(A78="","",N(D78)+E78-F78)</f>
        <v/>
      </c>
      <c r="H78" s="10" t="str">
        <f aca="false">IF(A78="","",商品目录!I78)</f>
        <v/>
      </c>
      <c r="I78" s="10" t="str">
        <f aca="false">IF(A78="","",IF(ISNUMBER(H78),IF(G78&lt;H78,"该补货",""),""))</f>
        <v/>
      </c>
    </row>
    <row r="79" customFormat="false" ht="15" hidden="false" customHeight="false" outlineLevel="0" collapsed="false">
      <c r="A79" s="10" t="str">
        <f aca="false">IF(商品目录!B79="","",商品目录!B79)</f>
        <v/>
      </c>
      <c r="B79" s="10" t="str">
        <f aca="false">IF(A79="","",商品目录!C79)</f>
        <v/>
      </c>
      <c r="C79" s="10" t="str">
        <f aca="false">IF(A79="","",商品目录!D79)</f>
        <v/>
      </c>
      <c r="D79" s="15"/>
      <c r="E79" s="10" t="str">
        <f aca="false">IF(A79="","",SUMIFS(采购记录!$D$2:$D$500,采购记录!$B$2:$B$500,A79,采购记录!$C$2:$C$500,B79))</f>
        <v/>
      </c>
      <c r="F79" s="10" t="str">
        <f aca="false">IF(A79="","",SUMIFS(订单登记!$F$2:$F$500,订单登记!$D$2:$D$500,A79,订单登记!$E$2:$E$500,B79))</f>
        <v/>
      </c>
      <c r="G79" s="10" t="str">
        <f aca="false">IF(A79="","",N(D79)+E79-F79)</f>
        <v/>
      </c>
      <c r="H79" s="10" t="str">
        <f aca="false">IF(A79="","",商品目录!I79)</f>
        <v/>
      </c>
      <c r="I79" s="10" t="str">
        <f aca="false">IF(A79="","",IF(ISNUMBER(H79),IF(G79&lt;H79,"该补货",""),""))</f>
        <v/>
      </c>
    </row>
    <row r="80" customFormat="false" ht="15" hidden="false" customHeight="false" outlineLevel="0" collapsed="false">
      <c r="A80" s="10" t="str">
        <f aca="false">IF(商品目录!B80="","",商品目录!B80)</f>
        <v/>
      </c>
      <c r="B80" s="10" t="str">
        <f aca="false">IF(A80="","",商品目录!C80)</f>
        <v/>
      </c>
      <c r="C80" s="10" t="str">
        <f aca="false">IF(A80="","",商品目录!D80)</f>
        <v/>
      </c>
      <c r="D80" s="15"/>
      <c r="E80" s="10" t="str">
        <f aca="false">IF(A80="","",SUMIFS(采购记录!$D$2:$D$500,采购记录!$B$2:$B$500,A80,采购记录!$C$2:$C$500,B80))</f>
        <v/>
      </c>
      <c r="F80" s="10" t="str">
        <f aca="false">IF(A80="","",SUMIFS(订单登记!$F$2:$F$500,订单登记!$D$2:$D$500,A80,订单登记!$E$2:$E$500,B80))</f>
        <v/>
      </c>
      <c r="G80" s="10" t="str">
        <f aca="false">IF(A80="","",N(D80)+E80-F80)</f>
        <v/>
      </c>
      <c r="H80" s="10" t="str">
        <f aca="false">IF(A80="","",商品目录!I80)</f>
        <v/>
      </c>
      <c r="I80" s="10" t="str">
        <f aca="false">IF(A80="","",IF(ISNUMBER(H80),IF(G80&lt;H80,"该补货",""),""))</f>
        <v/>
      </c>
    </row>
    <row r="81" customFormat="false" ht="15" hidden="false" customHeight="false" outlineLevel="0" collapsed="false">
      <c r="A81" s="10" t="str">
        <f aca="false">IF(商品目录!B81="","",商品目录!B81)</f>
        <v/>
      </c>
      <c r="B81" s="10" t="str">
        <f aca="false">IF(A81="","",商品目录!C81)</f>
        <v/>
      </c>
      <c r="C81" s="10" t="str">
        <f aca="false">IF(A81="","",商品目录!D81)</f>
        <v/>
      </c>
      <c r="D81" s="15"/>
      <c r="E81" s="10" t="str">
        <f aca="false">IF(A81="","",SUMIFS(采购记录!$D$2:$D$500,采购记录!$B$2:$B$500,A81,采购记录!$C$2:$C$500,B81))</f>
        <v/>
      </c>
      <c r="F81" s="10" t="str">
        <f aca="false">IF(A81="","",SUMIFS(订单登记!$F$2:$F$500,订单登记!$D$2:$D$500,A81,订单登记!$E$2:$E$500,B81))</f>
        <v/>
      </c>
      <c r="G81" s="10" t="str">
        <f aca="false">IF(A81="","",N(D81)+E81-F81)</f>
        <v/>
      </c>
      <c r="H81" s="10" t="str">
        <f aca="false">IF(A81="","",商品目录!I81)</f>
        <v/>
      </c>
      <c r="I81" s="10" t="str">
        <f aca="false">IF(A81="","",IF(ISNUMBER(H81),IF(G81&lt;H81,"该补货",""),""))</f>
        <v/>
      </c>
    </row>
    <row r="82" customFormat="false" ht="15" hidden="false" customHeight="false" outlineLevel="0" collapsed="false">
      <c r="A82" s="10" t="str">
        <f aca="false">IF(商品目录!B82="","",商品目录!B82)</f>
        <v/>
      </c>
      <c r="B82" s="10" t="str">
        <f aca="false">IF(A82="","",商品目录!C82)</f>
        <v/>
      </c>
      <c r="C82" s="10" t="str">
        <f aca="false">IF(A82="","",商品目录!D82)</f>
        <v/>
      </c>
      <c r="D82" s="15"/>
      <c r="E82" s="10" t="str">
        <f aca="false">IF(A82="","",SUMIFS(采购记录!$D$2:$D$500,采购记录!$B$2:$B$500,A82,采购记录!$C$2:$C$500,B82))</f>
        <v/>
      </c>
      <c r="F82" s="10" t="str">
        <f aca="false">IF(A82="","",SUMIFS(订单登记!$F$2:$F$500,订单登记!$D$2:$D$500,A82,订单登记!$E$2:$E$500,B82))</f>
        <v/>
      </c>
      <c r="G82" s="10" t="str">
        <f aca="false">IF(A82="","",N(D82)+E82-F82)</f>
        <v/>
      </c>
      <c r="H82" s="10" t="str">
        <f aca="false">IF(A82="","",商品目录!I82)</f>
        <v/>
      </c>
      <c r="I82" s="10" t="str">
        <f aca="false">IF(A82="","",IF(ISNUMBER(H82),IF(G82&lt;H82,"该补货",""),""))</f>
        <v/>
      </c>
    </row>
    <row r="83" customFormat="false" ht="15" hidden="false" customHeight="false" outlineLevel="0" collapsed="false">
      <c r="A83" s="10" t="str">
        <f aca="false">IF(商品目录!B83="","",商品目录!B83)</f>
        <v/>
      </c>
      <c r="B83" s="10" t="str">
        <f aca="false">IF(A83="","",商品目录!C83)</f>
        <v/>
      </c>
      <c r="C83" s="10" t="str">
        <f aca="false">IF(A83="","",商品目录!D83)</f>
        <v/>
      </c>
      <c r="D83" s="15"/>
      <c r="E83" s="10" t="str">
        <f aca="false">IF(A83="","",SUMIFS(采购记录!$D$2:$D$500,采购记录!$B$2:$B$500,A83,采购记录!$C$2:$C$500,B83))</f>
        <v/>
      </c>
      <c r="F83" s="10" t="str">
        <f aca="false">IF(A83="","",SUMIFS(订单登记!$F$2:$F$500,订单登记!$D$2:$D$500,A83,订单登记!$E$2:$E$500,B83))</f>
        <v/>
      </c>
      <c r="G83" s="10" t="str">
        <f aca="false">IF(A83="","",N(D83)+E83-F83)</f>
        <v/>
      </c>
      <c r="H83" s="10" t="str">
        <f aca="false">IF(A83="","",商品目录!I83)</f>
        <v/>
      </c>
      <c r="I83" s="10" t="str">
        <f aca="false">IF(A83="","",IF(ISNUMBER(H83),IF(G83&lt;H83,"该补货",""),""))</f>
        <v/>
      </c>
    </row>
    <row r="84" customFormat="false" ht="15" hidden="false" customHeight="false" outlineLevel="0" collapsed="false">
      <c r="A84" s="10" t="str">
        <f aca="false">IF(商品目录!B84="","",商品目录!B84)</f>
        <v/>
      </c>
      <c r="B84" s="10" t="str">
        <f aca="false">IF(A84="","",商品目录!C84)</f>
        <v/>
      </c>
      <c r="C84" s="10" t="str">
        <f aca="false">IF(A84="","",商品目录!D84)</f>
        <v/>
      </c>
      <c r="D84" s="15"/>
      <c r="E84" s="10" t="str">
        <f aca="false">IF(A84="","",SUMIFS(采购记录!$D$2:$D$500,采购记录!$B$2:$B$500,A84,采购记录!$C$2:$C$500,B84))</f>
        <v/>
      </c>
      <c r="F84" s="10" t="str">
        <f aca="false">IF(A84="","",SUMIFS(订单登记!$F$2:$F$500,订单登记!$D$2:$D$500,A84,订单登记!$E$2:$E$500,B84))</f>
        <v/>
      </c>
      <c r="G84" s="10" t="str">
        <f aca="false">IF(A84="","",N(D84)+E84-F84)</f>
        <v/>
      </c>
      <c r="H84" s="10" t="str">
        <f aca="false">IF(A84="","",商品目录!I84)</f>
        <v/>
      </c>
      <c r="I84" s="10" t="str">
        <f aca="false">IF(A84="","",IF(ISNUMBER(H84),IF(G84&lt;H84,"该补货",""),""))</f>
        <v/>
      </c>
    </row>
    <row r="85" customFormat="false" ht="15" hidden="false" customHeight="false" outlineLevel="0" collapsed="false">
      <c r="A85" s="10" t="str">
        <f aca="false">IF(商品目录!B85="","",商品目录!B85)</f>
        <v/>
      </c>
      <c r="B85" s="10" t="str">
        <f aca="false">IF(A85="","",商品目录!C85)</f>
        <v/>
      </c>
      <c r="C85" s="10" t="str">
        <f aca="false">IF(A85="","",商品目录!D85)</f>
        <v/>
      </c>
      <c r="D85" s="15"/>
      <c r="E85" s="10" t="str">
        <f aca="false">IF(A85="","",SUMIFS(采购记录!$D$2:$D$500,采购记录!$B$2:$B$500,A85,采购记录!$C$2:$C$500,B85))</f>
        <v/>
      </c>
      <c r="F85" s="10" t="str">
        <f aca="false">IF(A85="","",SUMIFS(订单登记!$F$2:$F$500,订单登记!$D$2:$D$500,A85,订单登记!$E$2:$E$500,B85))</f>
        <v/>
      </c>
      <c r="G85" s="10" t="str">
        <f aca="false">IF(A85="","",N(D85)+E85-F85)</f>
        <v/>
      </c>
      <c r="H85" s="10" t="str">
        <f aca="false">IF(A85="","",商品目录!I85)</f>
        <v/>
      </c>
      <c r="I85" s="10" t="str">
        <f aca="false">IF(A85="","",IF(ISNUMBER(H85),IF(G85&lt;H85,"该补货",""),""))</f>
        <v/>
      </c>
    </row>
    <row r="86" customFormat="false" ht="15" hidden="false" customHeight="false" outlineLevel="0" collapsed="false">
      <c r="A86" s="10" t="str">
        <f aca="false">IF(商品目录!B86="","",商品目录!B86)</f>
        <v/>
      </c>
      <c r="B86" s="10" t="str">
        <f aca="false">IF(A86="","",商品目录!C86)</f>
        <v/>
      </c>
      <c r="C86" s="10" t="str">
        <f aca="false">IF(A86="","",商品目录!D86)</f>
        <v/>
      </c>
      <c r="D86" s="15"/>
      <c r="E86" s="10" t="str">
        <f aca="false">IF(A86="","",SUMIFS(采购记录!$D$2:$D$500,采购记录!$B$2:$B$500,A86,采购记录!$C$2:$C$500,B86))</f>
        <v/>
      </c>
      <c r="F86" s="10" t="str">
        <f aca="false">IF(A86="","",SUMIFS(订单登记!$F$2:$F$500,订单登记!$D$2:$D$500,A86,订单登记!$E$2:$E$500,B86))</f>
        <v/>
      </c>
      <c r="G86" s="10" t="str">
        <f aca="false">IF(A86="","",N(D86)+E86-F86)</f>
        <v/>
      </c>
      <c r="H86" s="10" t="str">
        <f aca="false">IF(A86="","",商品目录!I86)</f>
        <v/>
      </c>
      <c r="I86" s="10" t="str">
        <f aca="false">IF(A86="","",IF(ISNUMBER(H86),IF(G86&lt;H86,"该补货",""),""))</f>
        <v/>
      </c>
    </row>
    <row r="87" customFormat="false" ht="15" hidden="false" customHeight="false" outlineLevel="0" collapsed="false">
      <c r="A87" s="10" t="str">
        <f aca="false">IF(商品目录!B87="","",商品目录!B87)</f>
        <v/>
      </c>
      <c r="B87" s="10" t="str">
        <f aca="false">IF(A87="","",商品目录!C87)</f>
        <v/>
      </c>
      <c r="C87" s="10" t="str">
        <f aca="false">IF(A87="","",商品目录!D87)</f>
        <v/>
      </c>
      <c r="D87" s="15"/>
      <c r="E87" s="10" t="str">
        <f aca="false">IF(A87="","",SUMIFS(采购记录!$D$2:$D$500,采购记录!$B$2:$B$500,A87,采购记录!$C$2:$C$500,B87))</f>
        <v/>
      </c>
      <c r="F87" s="10" t="str">
        <f aca="false">IF(A87="","",SUMIFS(订单登记!$F$2:$F$500,订单登记!$D$2:$D$500,A87,订单登记!$E$2:$E$500,B87))</f>
        <v/>
      </c>
      <c r="G87" s="10" t="str">
        <f aca="false">IF(A87="","",N(D87)+E87-F87)</f>
        <v/>
      </c>
      <c r="H87" s="10" t="str">
        <f aca="false">IF(A87="","",商品目录!I87)</f>
        <v/>
      </c>
      <c r="I87" s="10" t="str">
        <f aca="false">IF(A87="","",IF(ISNUMBER(H87),IF(G87&lt;H87,"该补货",""),""))</f>
        <v/>
      </c>
    </row>
    <row r="88" customFormat="false" ht="15" hidden="false" customHeight="false" outlineLevel="0" collapsed="false">
      <c r="A88" s="10" t="str">
        <f aca="false">IF(商品目录!B88="","",商品目录!B88)</f>
        <v/>
      </c>
      <c r="B88" s="10" t="str">
        <f aca="false">IF(A88="","",商品目录!C88)</f>
        <v/>
      </c>
      <c r="C88" s="10" t="str">
        <f aca="false">IF(A88="","",商品目录!D88)</f>
        <v/>
      </c>
      <c r="D88" s="15"/>
      <c r="E88" s="10" t="str">
        <f aca="false">IF(A88="","",SUMIFS(采购记录!$D$2:$D$500,采购记录!$B$2:$B$500,A88,采购记录!$C$2:$C$500,B88))</f>
        <v/>
      </c>
      <c r="F88" s="10" t="str">
        <f aca="false">IF(A88="","",SUMIFS(订单登记!$F$2:$F$500,订单登记!$D$2:$D$500,A88,订单登记!$E$2:$E$500,B88))</f>
        <v/>
      </c>
      <c r="G88" s="10" t="str">
        <f aca="false">IF(A88="","",N(D88)+E88-F88)</f>
        <v/>
      </c>
      <c r="H88" s="10" t="str">
        <f aca="false">IF(A88="","",商品目录!I88)</f>
        <v/>
      </c>
      <c r="I88" s="10" t="str">
        <f aca="false">IF(A88="","",IF(ISNUMBER(H88),IF(G88&lt;H88,"该补货",""),""))</f>
        <v/>
      </c>
    </row>
    <row r="89" customFormat="false" ht="15" hidden="false" customHeight="false" outlineLevel="0" collapsed="false">
      <c r="A89" s="10" t="str">
        <f aca="false">IF(商品目录!B89="","",商品目录!B89)</f>
        <v/>
      </c>
      <c r="B89" s="10" t="str">
        <f aca="false">IF(A89="","",商品目录!C89)</f>
        <v/>
      </c>
      <c r="C89" s="10" t="str">
        <f aca="false">IF(A89="","",商品目录!D89)</f>
        <v/>
      </c>
      <c r="D89" s="15"/>
      <c r="E89" s="10" t="str">
        <f aca="false">IF(A89="","",SUMIFS(采购记录!$D$2:$D$500,采购记录!$B$2:$B$500,A89,采购记录!$C$2:$C$500,B89))</f>
        <v/>
      </c>
      <c r="F89" s="10" t="str">
        <f aca="false">IF(A89="","",SUMIFS(订单登记!$F$2:$F$500,订单登记!$D$2:$D$500,A89,订单登记!$E$2:$E$500,B89))</f>
        <v/>
      </c>
      <c r="G89" s="10" t="str">
        <f aca="false">IF(A89="","",N(D89)+E89-F89)</f>
        <v/>
      </c>
      <c r="H89" s="10" t="str">
        <f aca="false">IF(A89="","",商品目录!I89)</f>
        <v/>
      </c>
      <c r="I89" s="10" t="str">
        <f aca="false">IF(A89="","",IF(ISNUMBER(H89),IF(G89&lt;H89,"该补货",""),""))</f>
        <v/>
      </c>
    </row>
    <row r="90" customFormat="false" ht="15" hidden="false" customHeight="false" outlineLevel="0" collapsed="false">
      <c r="A90" s="10" t="str">
        <f aca="false">IF(商品目录!B90="","",商品目录!B90)</f>
        <v/>
      </c>
      <c r="B90" s="10" t="str">
        <f aca="false">IF(A90="","",商品目录!C90)</f>
        <v/>
      </c>
      <c r="C90" s="10" t="str">
        <f aca="false">IF(A90="","",商品目录!D90)</f>
        <v/>
      </c>
      <c r="D90" s="15"/>
      <c r="E90" s="10" t="str">
        <f aca="false">IF(A90="","",SUMIFS(采购记录!$D$2:$D$500,采购记录!$B$2:$B$500,A90,采购记录!$C$2:$C$500,B90))</f>
        <v/>
      </c>
      <c r="F90" s="10" t="str">
        <f aca="false">IF(A90="","",SUMIFS(订单登记!$F$2:$F$500,订单登记!$D$2:$D$500,A90,订单登记!$E$2:$E$500,B90))</f>
        <v/>
      </c>
      <c r="G90" s="10" t="str">
        <f aca="false">IF(A90="","",N(D90)+E90-F90)</f>
        <v/>
      </c>
      <c r="H90" s="10" t="str">
        <f aca="false">IF(A90="","",商品目录!I90)</f>
        <v/>
      </c>
      <c r="I90" s="10" t="str">
        <f aca="false">IF(A90="","",IF(ISNUMBER(H90),IF(G90&lt;H90,"该补货",""),""))</f>
        <v/>
      </c>
    </row>
    <row r="91" customFormat="false" ht="15" hidden="false" customHeight="false" outlineLevel="0" collapsed="false">
      <c r="A91" s="10" t="str">
        <f aca="false">IF(商品目录!B91="","",商品目录!B91)</f>
        <v/>
      </c>
      <c r="B91" s="10" t="str">
        <f aca="false">IF(A91="","",商品目录!C91)</f>
        <v/>
      </c>
      <c r="C91" s="10" t="str">
        <f aca="false">IF(A91="","",商品目录!D91)</f>
        <v/>
      </c>
      <c r="D91" s="15"/>
      <c r="E91" s="10" t="str">
        <f aca="false">IF(A91="","",SUMIFS(采购记录!$D$2:$D$500,采购记录!$B$2:$B$500,A91,采购记录!$C$2:$C$500,B91))</f>
        <v/>
      </c>
      <c r="F91" s="10" t="str">
        <f aca="false">IF(A91="","",SUMIFS(订单登记!$F$2:$F$500,订单登记!$D$2:$D$500,A91,订单登记!$E$2:$E$500,B91))</f>
        <v/>
      </c>
      <c r="G91" s="10" t="str">
        <f aca="false">IF(A91="","",N(D91)+E91-F91)</f>
        <v/>
      </c>
      <c r="H91" s="10" t="str">
        <f aca="false">IF(A91="","",商品目录!I91)</f>
        <v/>
      </c>
      <c r="I91" s="10" t="str">
        <f aca="false">IF(A91="","",IF(ISNUMBER(H91),IF(G91&lt;H91,"该补货",""),""))</f>
        <v/>
      </c>
    </row>
    <row r="92" customFormat="false" ht="15" hidden="false" customHeight="false" outlineLevel="0" collapsed="false">
      <c r="A92" s="10" t="str">
        <f aca="false">IF(商品目录!B92="","",商品目录!B92)</f>
        <v/>
      </c>
      <c r="B92" s="10" t="str">
        <f aca="false">IF(A92="","",商品目录!C92)</f>
        <v/>
      </c>
      <c r="C92" s="10" t="str">
        <f aca="false">IF(A92="","",商品目录!D92)</f>
        <v/>
      </c>
      <c r="D92" s="15"/>
      <c r="E92" s="10" t="str">
        <f aca="false">IF(A92="","",SUMIFS(采购记录!$D$2:$D$500,采购记录!$B$2:$B$500,A92,采购记录!$C$2:$C$500,B92))</f>
        <v/>
      </c>
      <c r="F92" s="10" t="str">
        <f aca="false">IF(A92="","",SUMIFS(订单登记!$F$2:$F$500,订单登记!$D$2:$D$500,A92,订单登记!$E$2:$E$500,B92))</f>
        <v/>
      </c>
      <c r="G92" s="10" t="str">
        <f aca="false">IF(A92="","",N(D92)+E92-F92)</f>
        <v/>
      </c>
      <c r="H92" s="10" t="str">
        <f aca="false">IF(A92="","",商品目录!I92)</f>
        <v/>
      </c>
      <c r="I92" s="10" t="str">
        <f aca="false">IF(A92="","",IF(ISNUMBER(H92),IF(G92&lt;H92,"该补货",""),""))</f>
        <v/>
      </c>
    </row>
    <row r="93" customFormat="false" ht="15" hidden="false" customHeight="false" outlineLevel="0" collapsed="false">
      <c r="A93" s="10" t="str">
        <f aca="false">IF(商品目录!B93="","",商品目录!B93)</f>
        <v/>
      </c>
      <c r="B93" s="10" t="str">
        <f aca="false">IF(A93="","",商品目录!C93)</f>
        <v/>
      </c>
      <c r="C93" s="10" t="str">
        <f aca="false">IF(A93="","",商品目录!D93)</f>
        <v/>
      </c>
      <c r="D93" s="15"/>
      <c r="E93" s="10" t="str">
        <f aca="false">IF(A93="","",SUMIFS(采购记录!$D$2:$D$500,采购记录!$B$2:$B$500,A93,采购记录!$C$2:$C$500,B93))</f>
        <v/>
      </c>
      <c r="F93" s="10" t="str">
        <f aca="false">IF(A93="","",SUMIFS(订单登记!$F$2:$F$500,订单登记!$D$2:$D$500,A93,订单登记!$E$2:$E$500,B93))</f>
        <v/>
      </c>
      <c r="G93" s="10" t="str">
        <f aca="false">IF(A93="","",N(D93)+E93-F93)</f>
        <v/>
      </c>
      <c r="H93" s="10" t="str">
        <f aca="false">IF(A93="","",商品目录!I93)</f>
        <v/>
      </c>
      <c r="I93" s="10" t="str">
        <f aca="false">IF(A93="","",IF(ISNUMBER(H93),IF(G93&lt;H93,"该补货",""),""))</f>
        <v/>
      </c>
    </row>
    <row r="94" customFormat="false" ht="15" hidden="false" customHeight="false" outlineLevel="0" collapsed="false">
      <c r="A94" s="10" t="str">
        <f aca="false">IF(商品目录!B94="","",商品目录!B94)</f>
        <v/>
      </c>
      <c r="B94" s="10" t="str">
        <f aca="false">IF(A94="","",商品目录!C94)</f>
        <v/>
      </c>
      <c r="C94" s="10" t="str">
        <f aca="false">IF(A94="","",商品目录!D94)</f>
        <v/>
      </c>
      <c r="D94" s="15"/>
      <c r="E94" s="10" t="str">
        <f aca="false">IF(A94="","",SUMIFS(采购记录!$D$2:$D$500,采购记录!$B$2:$B$500,A94,采购记录!$C$2:$C$500,B94))</f>
        <v/>
      </c>
      <c r="F94" s="10" t="str">
        <f aca="false">IF(A94="","",SUMIFS(订单登记!$F$2:$F$500,订单登记!$D$2:$D$500,A94,订单登记!$E$2:$E$500,B94))</f>
        <v/>
      </c>
      <c r="G94" s="10" t="str">
        <f aca="false">IF(A94="","",N(D94)+E94-F94)</f>
        <v/>
      </c>
      <c r="H94" s="10" t="str">
        <f aca="false">IF(A94="","",商品目录!I94)</f>
        <v/>
      </c>
      <c r="I94" s="10" t="str">
        <f aca="false">IF(A94="","",IF(ISNUMBER(H94),IF(G94&lt;H94,"该补货",""),""))</f>
        <v/>
      </c>
    </row>
    <row r="95" customFormat="false" ht="15" hidden="false" customHeight="false" outlineLevel="0" collapsed="false">
      <c r="A95" s="10" t="str">
        <f aca="false">IF(商品目录!B95="","",商品目录!B95)</f>
        <v/>
      </c>
      <c r="B95" s="10" t="str">
        <f aca="false">IF(A95="","",商品目录!C95)</f>
        <v/>
      </c>
      <c r="C95" s="10" t="str">
        <f aca="false">IF(A95="","",商品目录!D95)</f>
        <v/>
      </c>
      <c r="D95" s="15"/>
      <c r="E95" s="10" t="str">
        <f aca="false">IF(A95="","",SUMIFS(采购记录!$D$2:$D$500,采购记录!$B$2:$B$500,A95,采购记录!$C$2:$C$500,B95))</f>
        <v/>
      </c>
      <c r="F95" s="10" t="str">
        <f aca="false">IF(A95="","",SUMIFS(订单登记!$F$2:$F$500,订单登记!$D$2:$D$500,A95,订单登记!$E$2:$E$500,B95))</f>
        <v/>
      </c>
      <c r="G95" s="10" t="str">
        <f aca="false">IF(A95="","",N(D95)+E95-F95)</f>
        <v/>
      </c>
      <c r="H95" s="10" t="str">
        <f aca="false">IF(A95="","",商品目录!I95)</f>
        <v/>
      </c>
      <c r="I95" s="10" t="str">
        <f aca="false">IF(A95="","",IF(ISNUMBER(H95),IF(G95&lt;H95,"该补货",""),""))</f>
        <v/>
      </c>
    </row>
    <row r="96" customFormat="false" ht="15" hidden="false" customHeight="false" outlineLevel="0" collapsed="false">
      <c r="A96" s="10" t="str">
        <f aca="false">IF(商品目录!B96="","",商品目录!B96)</f>
        <v/>
      </c>
      <c r="B96" s="10" t="str">
        <f aca="false">IF(A96="","",商品目录!C96)</f>
        <v/>
      </c>
      <c r="C96" s="10" t="str">
        <f aca="false">IF(A96="","",商品目录!D96)</f>
        <v/>
      </c>
      <c r="D96" s="15"/>
      <c r="E96" s="10" t="str">
        <f aca="false">IF(A96="","",SUMIFS(采购记录!$D$2:$D$500,采购记录!$B$2:$B$500,A96,采购记录!$C$2:$C$500,B96))</f>
        <v/>
      </c>
      <c r="F96" s="10" t="str">
        <f aca="false">IF(A96="","",SUMIFS(订单登记!$F$2:$F$500,订单登记!$D$2:$D$500,A96,订单登记!$E$2:$E$500,B96))</f>
        <v/>
      </c>
      <c r="G96" s="10" t="str">
        <f aca="false">IF(A96="","",N(D96)+E96-F96)</f>
        <v/>
      </c>
      <c r="H96" s="10" t="str">
        <f aca="false">IF(A96="","",商品目录!I96)</f>
        <v/>
      </c>
      <c r="I96" s="10" t="str">
        <f aca="false">IF(A96="","",IF(ISNUMBER(H96),IF(G96&lt;H96,"该补货",""),""))</f>
        <v/>
      </c>
    </row>
    <row r="97" customFormat="false" ht="15" hidden="false" customHeight="false" outlineLevel="0" collapsed="false">
      <c r="A97" s="10" t="str">
        <f aca="false">IF(商品目录!B97="","",商品目录!B97)</f>
        <v/>
      </c>
      <c r="B97" s="10" t="str">
        <f aca="false">IF(A97="","",商品目录!C97)</f>
        <v/>
      </c>
      <c r="C97" s="10" t="str">
        <f aca="false">IF(A97="","",商品目录!D97)</f>
        <v/>
      </c>
      <c r="D97" s="15"/>
      <c r="E97" s="10" t="str">
        <f aca="false">IF(A97="","",SUMIFS(采购记录!$D$2:$D$500,采购记录!$B$2:$B$500,A97,采购记录!$C$2:$C$500,B97))</f>
        <v/>
      </c>
      <c r="F97" s="10" t="str">
        <f aca="false">IF(A97="","",SUMIFS(订单登记!$F$2:$F$500,订单登记!$D$2:$D$500,A97,订单登记!$E$2:$E$500,B97))</f>
        <v/>
      </c>
      <c r="G97" s="10" t="str">
        <f aca="false">IF(A97="","",N(D97)+E97-F97)</f>
        <v/>
      </c>
      <c r="H97" s="10" t="str">
        <f aca="false">IF(A97="","",商品目录!I97)</f>
        <v/>
      </c>
      <c r="I97" s="10" t="str">
        <f aca="false">IF(A97="","",IF(ISNUMBER(H97),IF(G97&lt;H97,"该补货",""),""))</f>
        <v/>
      </c>
    </row>
    <row r="98" customFormat="false" ht="15" hidden="false" customHeight="false" outlineLevel="0" collapsed="false">
      <c r="A98" s="10" t="str">
        <f aca="false">IF(商品目录!B98="","",商品目录!B98)</f>
        <v/>
      </c>
      <c r="B98" s="10" t="str">
        <f aca="false">IF(A98="","",商品目录!C98)</f>
        <v/>
      </c>
      <c r="C98" s="10" t="str">
        <f aca="false">IF(A98="","",商品目录!D98)</f>
        <v/>
      </c>
      <c r="D98" s="15"/>
      <c r="E98" s="10" t="str">
        <f aca="false">IF(A98="","",SUMIFS(采购记录!$D$2:$D$500,采购记录!$B$2:$B$500,A98,采购记录!$C$2:$C$500,B98))</f>
        <v/>
      </c>
      <c r="F98" s="10" t="str">
        <f aca="false">IF(A98="","",SUMIFS(订单登记!$F$2:$F$500,订单登记!$D$2:$D$500,A98,订单登记!$E$2:$E$500,B98))</f>
        <v/>
      </c>
      <c r="G98" s="10" t="str">
        <f aca="false">IF(A98="","",N(D98)+E98-F98)</f>
        <v/>
      </c>
      <c r="H98" s="10" t="str">
        <f aca="false">IF(A98="","",商品目录!I98)</f>
        <v/>
      </c>
      <c r="I98" s="10" t="str">
        <f aca="false">IF(A98="","",IF(ISNUMBER(H98),IF(G98&lt;H98,"该补货",""),""))</f>
        <v/>
      </c>
    </row>
    <row r="99" customFormat="false" ht="15" hidden="false" customHeight="false" outlineLevel="0" collapsed="false">
      <c r="A99" s="10" t="str">
        <f aca="false">IF(商品目录!B99="","",商品目录!B99)</f>
        <v/>
      </c>
      <c r="B99" s="10" t="str">
        <f aca="false">IF(A99="","",商品目录!C99)</f>
        <v/>
      </c>
      <c r="C99" s="10" t="str">
        <f aca="false">IF(A99="","",商品目录!D99)</f>
        <v/>
      </c>
      <c r="D99" s="15"/>
      <c r="E99" s="10" t="str">
        <f aca="false">IF(A99="","",SUMIFS(采购记录!$D$2:$D$500,采购记录!$B$2:$B$500,A99,采购记录!$C$2:$C$500,B99))</f>
        <v/>
      </c>
      <c r="F99" s="10" t="str">
        <f aca="false">IF(A99="","",SUMIFS(订单登记!$F$2:$F$500,订单登记!$D$2:$D$500,A99,订单登记!$E$2:$E$500,B99))</f>
        <v/>
      </c>
      <c r="G99" s="10" t="str">
        <f aca="false">IF(A99="","",N(D99)+E99-F99)</f>
        <v/>
      </c>
      <c r="H99" s="10" t="str">
        <f aca="false">IF(A99="","",商品目录!I99)</f>
        <v/>
      </c>
      <c r="I99" s="10" t="str">
        <f aca="false">IF(A99="","",IF(ISNUMBER(H99),IF(G99&lt;H99,"该补货",""),""))</f>
        <v/>
      </c>
    </row>
    <row r="100" customFormat="false" ht="15" hidden="false" customHeight="false" outlineLevel="0" collapsed="false">
      <c r="A100" s="10" t="str">
        <f aca="false">IF(商品目录!B100="","",商品目录!B100)</f>
        <v/>
      </c>
      <c r="B100" s="10" t="str">
        <f aca="false">IF(A100="","",商品目录!C100)</f>
        <v/>
      </c>
      <c r="C100" s="10" t="str">
        <f aca="false">IF(A100="","",商品目录!D100)</f>
        <v/>
      </c>
      <c r="D100" s="15"/>
      <c r="E100" s="10" t="str">
        <f aca="false">IF(A100="","",SUMIFS(采购记录!$D$2:$D$500,采购记录!$B$2:$B$500,A100,采购记录!$C$2:$C$500,B100))</f>
        <v/>
      </c>
      <c r="F100" s="10" t="str">
        <f aca="false">IF(A100="","",SUMIFS(订单登记!$F$2:$F$500,订单登记!$D$2:$D$500,A100,订单登记!$E$2:$E$500,B100))</f>
        <v/>
      </c>
      <c r="G100" s="10" t="str">
        <f aca="false">IF(A100="","",N(D100)+E100-F100)</f>
        <v/>
      </c>
      <c r="H100" s="10" t="str">
        <f aca="false">IF(A100="","",商品目录!I100)</f>
        <v/>
      </c>
      <c r="I100" s="10" t="str">
        <f aca="false">IF(A100="","",IF(ISNUMBER(H100),IF(G100&lt;H100,"该补货",""),""))</f>
        <v/>
      </c>
    </row>
    <row r="101" customFormat="false" ht="15" hidden="false" customHeight="false" outlineLevel="0" collapsed="false">
      <c r="A101" s="10" t="str">
        <f aca="false">IF(商品目录!B101="","",商品目录!B101)</f>
        <v/>
      </c>
      <c r="B101" s="10" t="str">
        <f aca="false">IF(A101="","",商品目录!C101)</f>
        <v/>
      </c>
      <c r="C101" s="10" t="str">
        <f aca="false">IF(A101="","",商品目录!D101)</f>
        <v/>
      </c>
      <c r="D101" s="15"/>
      <c r="E101" s="10" t="str">
        <f aca="false">IF(A101="","",SUMIFS(采购记录!$D$2:$D$500,采购记录!$B$2:$B$500,A101,采购记录!$C$2:$C$500,B101))</f>
        <v/>
      </c>
      <c r="F101" s="10" t="str">
        <f aca="false">IF(A101="","",SUMIFS(订单登记!$F$2:$F$500,订单登记!$D$2:$D$500,A101,订单登记!$E$2:$E$500,B101))</f>
        <v/>
      </c>
      <c r="G101" s="10" t="str">
        <f aca="false">IF(A101="","",N(D101)+E101-F101)</f>
        <v/>
      </c>
      <c r="H101" s="10" t="str">
        <f aca="false">IF(A101="","",商品目录!I101)</f>
        <v/>
      </c>
      <c r="I101" s="10" t="str">
        <f aca="false">IF(A101="","",IF(ISNUMBER(H101),IF(G101&lt;H101,"该补货",""),""))</f>
        <v/>
      </c>
    </row>
    <row r="102" customFormat="false" ht="15" hidden="false" customHeight="false" outlineLevel="0" collapsed="false">
      <c r="A102" s="10" t="str">
        <f aca="false">IF(商品目录!B102="","",商品目录!B102)</f>
        <v/>
      </c>
      <c r="B102" s="10" t="str">
        <f aca="false">IF(A102="","",商品目录!C102)</f>
        <v/>
      </c>
      <c r="C102" s="10" t="str">
        <f aca="false">IF(A102="","",商品目录!D102)</f>
        <v/>
      </c>
      <c r="D102" s="15"/>
      <c r="E102" s="10" t="str">
        <f aca="false">IF(A102="","",SUMIFS(采购记录!$D$2:$D$500,采购记录!$B$2:$B$500,A102,采购记录!$C$2:$C$500,B102))</f>
        <v/>
      </c>
      <c r="F102" s="10" t="str">
        <f aca="false">IF(A102="","",SUMIFS(订单登记!$F$2:$F$500,订单登记!$D$2:$D$500,A102,订单登记!$E$2:$E$500,B102))</f>
        <v/>
      </c>
      <c r="G102" s="10" t="str">
        <f aca="false">IF(A102="","",N(D102)+E102-F102)</f>
        <v/>
      </c>
      <c r="H102" s="10" t="str">
        <f aca="false">IF(A102="","",商品目录!I102)</f>
        <v/>
      </c>
      <c r="I102" s="10" t="str">
        <f aca="false">IF(A102="","",IF(ISNUMBER(H102),IF(G102&lt;H102,"该补货",""),""))</f>
        <v/>
      </c>
    </row>
    <row r="103" customFormat="false" ht="15" hidden="false" customHeight="false" outlineLevel="0" collapsed="false">
      <c r="A103" s="10" t="str">
        <f aca="false">IF(商品目录!B103="","",商品目录!B103)</f>
        <v/>
      </c>
      <c r="B103" s="10" t="str">
        <f aca="false">IF(A103="","",商品目录!C103)</f>
        <v/>
      </c>
      <c r="C103" s="10" t="str">
        <f aca="false">IF(A103="","",商品目录!D103)</f>
        <v/>
      </c>
      <c r="D103" s="15"/>
      <c r="E103" s="10" t="str">
        <f aca="false">IF(A103="","",SUMIFS(采购记录!$D$2:$D$500,采购记录!$B$2:$B$500,A103,采购记录!$C$2:$C$500,B103))</f>
        <v/>
      </c>
      <c r="F103" s="10" t="str">
        <f aca="false">IF(A103="","",SUMIFS(订单登记!$F$2:$F$500,订单登记!$D$2:$D$500,A103,订单登记!$E$2:$E$500,B103))</f>
        <v/>
      </c>
      <c r="G103" s="10" t="str">
        <f aca="false">IF(A103="","",N(D103)+E103-F103)</f>
        <v/>
      </c>
      <c r="H103" s="10" t="str">
        <f aca="false">IF(A103="","",商品目录!I103)</f>
        <v/>
      </c>
      <c r="I103" s="10" t="str">
        <f aca="false">IF(A103="","",IF(ISNUMBER(H103),IF(G103&lt;H103,"该补货",""),""))</f>
        <v/>
      </c>
    </row>
    <row r="104" customFormat="false" ht="15" hidden="false" customHeight="false" outlineLevel="0" collapsed="false">
      <c r="A104" s="10" t="str">
        <f aca="false">IF(商品目录!B104="","",商品目录!B104)</f>
        <v/>
      </c>
      <c r="B104" s="10" t="str">
        <f aca="false">IF(A104="","",商品目录!C104)</f>
        <v/>
      </c>
      <c r="C104" s="10" t="str">
        <f aca="false">IF(A104="","",商品目录!D104)</f>
        <v/>
      </c>
      <c r="D104" s="15"/>
      <c r="E104" s="10" t="str">
        <f aca="false">IF(A104="","",SUMIFS(采购记录!$D$2:$D$500,采购记录!$B$2:$B$500,A104,采购记录!$C$2:$C$500,B104))</f>
        <v/>
      </c>
      <c r="F104" s="10" t="str">
        <f aca="false">IF(A104="","",SUMIFS(订单登记!$F$2:$F$500,订单登记!$D$2:$D$500,A104,订单登记!$E$2:$E$500,B104))</f>
        <v/>
      </c>
      <c r="G104" s="10" t="str">
        <f aca="false">IF(A104="","",N(D104)+E104-F104)</f>
        <v/>
      </c>
      <c r="H104" s="10" t="str">
        <f aca="false">IF(A104="","",商品目录!I104)</f>
        <v/>
      </c>
      <c r="I104" s="10" t="str">
        <f aca="false">IF(A104="","",IF(ISNUMBER(H104),IF(G104&lt;H104,"该补货",""),""))</f>
        <v/>
      </c>
    </row>
    <row r="105" customFormat="false" ht="15" hidden="false" customHeight="false" outlineLevel="0" collapsed="false">
      <c r="A105" s="10" t="str">
        <f aca="false">IF(商品目录!B105="","",商品目录!B105)</f>
        <v/>
      </c>
      <c r="B105" s="10" t="str">
        <f aca="false">IF(A105="","",商品目录!C105)</f>
        <v/>
      </c>
      <c r="C105" s="10" t="str">
        <f aca="false">IF(A105="","",商品目录!D105)</f>
        <v/>
      </c>
      <c r="D105" s="15"/>
      <c r="E105" s="10" t="str">
        <f aca="false">IF(A105="","",SUMIFS(采购记录!$D$2:$D$500,采购记录!$B$2:$B$500,A105,采购记录!$C$2:$C$500,B105))</f>
        <v/>
      </c>
      <c r="F105" s="10" t="str">
        <f aca="false">IF(A105="","",SUMIFS(订单登记!$F$2:$F$500,订单登记!$D$2:$D$500,A105,订单登记!$E$2:$E$500,B105))</f>
        <v/>
      </c>
      <c r="G105" s="10" t="str">
        <f aca="false">IF(A105="","",N(D105)+E105-F105)</f>
        <v/>
      </c>
      <c r="H105" s="10" t="str">
        <f aca="false">IF(A105="","",商品目录!I105)</f>
        <v/>
      </c>
      <c r="I105" s="10" t="str">
        <f aca="false">IF(A105="","",IF(ISNUMBER(H105),IF(G105&lt;H105,"该补货",""),""))</f>
        <v/>
      </c>
    </row>
    <row r="106" customFormat="false" ht="15" hidden="false" customHeight="false" outlineLevel="0" collapsed="false">
      <c r="A106" s="10" t="str">
        <f aca="false">IF(商品目录!B106="","",商品目录!B106)</f>
        <v/>
      </c>
      <c r="B106" s="10" t="str">
        <f aca="false">IF(A106="","",商品目录!C106)</f>
        <v/>
      </c>
      <c r="C106" s="10" t="str">
        <f aca="false">IF(A106="","",商品目录!D106)</f>
        <v/>
      </c>
      <c r="D106" s="15"/>
      <c r="E106" s="10" t="str">
        <f aca="false">IF(A106="","",SUMIFS(采购记录!$D$2:$D$500,采购记录!$B$2:$B$500,A106,采购记录!$C$2:$C$500,B106))</f>
        <v/>
      </c>
      <c r="F106" s="10" t="str">
        <f aca="false">IF(A106="","",SUMIFS(订单登记!$F$2:$F$500,订单登记!$D$2:$D$500,A106,订单登记!$E$2:$E$500,B106))</f>
        <v/>
      </c>
      <c r="G106" s="10" t="str">
        <f aca="false">IF(A106="","",N(D106)+E106-F106)</f>
        <v/>
      </c>
      <c r="H106" s="10" t="str">
        <f aca="false">IF(A106="","",商品目录!I106)</f>
        <v/>
      </c>
      <c r="I106" s="10" t="str">
        <f aca="false">IF(A106="","",IF(ISNUMBER(H106),IF(G106&lt;H106,"该补货",""),""))</f>
        <v/>
      </c>
    </row>
    <row r="107" customFormat="false" ht="15" hidden="false" customHeight="false" outlineLevel="0" collapsed="false">
      <c r="A107" s="10" t="str">
        <f aca="false">IF(商品目录!B107="","",商品目录!B107)</f>
        <v/>
      </c>
      <c r="B107" s="10" t="str">
        <f aca="false">IF(A107="","",商品目录!C107)</f>
        <v/>
      </c>
      <c r="C107" s="10" t="str">
        <f aca="false">IF(A107="","",商品目录!D107)</f>
        <v/>
      </c>
      <c r="D107" s="15"/>
      <c r="E107" s="10" t="str">
        <f aca="false">IF(A107="","",SUMIFS(采购记录!$D$2:$D$500,采购记录!$B$2:$B$500,A107,采购记录!$C$2:$C$500,B107))</f>
        <v/>
      </c>
      <c r="F107" s="10" t="str">
        <f aca="false">IF(A107="","",SUMIFS(订单登记!$F$2:$F$500,订单登记!$D$2:$D$500,A107,订单登记!$E$2:$E$500,B107))</f>
        <v/>
      </c>
      <c r="G107" s="10" t="str">
        <f aca="false">IF(A107="","",N(D107)+E107-F107)</f>
        <v/>
      </c>
      <c r="H107" s="10" t="str">
        <f aca="false">IF(A107="","",商品目录!I107)</f>
        <v/>
      </c>
      <c r="I107" s="10" t="str">
        <f aca="false">IF(A107="","",IF(ISNUMBER(H107),IF(G107&lt;H107,"该补货",""),""))</f>
        <v/>
      </c>
    </row>
    <row r="108" customFormat="false" ht="15" hidden="false" customHeight="false" outlineLevel="0" collapsed="false">
      <c r="A108" s="10" t="str">
        <f aca="false">IF(商品目录!B108="","",商品目录!B108)</f>
        <v/>
      </c>
      <c r="B108" s="10" t="str">
        <f aca="false">IF(A108="","",商品目录!C108)</f>
        <v/>
      </c>
      <c r="C108" s="10" t="str">
        <f aca="false">IF(A108="","",商品目录!D108)</f>
        <v/>
      </c>
      <c r="D108" s="15"/>
      <c r="E108" s="10" t="str">
        <f aca="false">IF(A108="","",SUMIFS(采购记录!$D$2:$D$500,采购记录!$B$2:$B$500,A108,采购记录!$C$2:$C$500,B108))</f>
        <v/>
      </c>
      <c r="F108" s="10" t="str">
        <f aca="false">IF(A108="","",SUMIFS(订单登记!$F$2:$F$500,订单登记!$D$2:$D$500,A108,订单登记!$E$2:$E$500,B108))</f>
        <v/>
      </c>
      <c r="G108" s="10" t="str">
        <f aca="false">IF(A108="","",N(D108)+E108-F108)</f>
        <v/>
      </c>
      <c r="H108" s="10" t="str">
        <f aca="false">IF(A108="","",商品目录!I108)</f>
        <v/>
      </c>
      <c r="I108" s="10" t="str">
        <f aca="false">IF(A108="","",IF(ISNUMBER(H108),IF(G108&lt;H108,"该补货",""),""))</f>
        <v/>
      </c>
    </row>
    <row r="109" customFormat="false" ht="15" hidden="false" customHeight="false" outlineLevel="0" collapsed="false">
      <c r="A109" s="10" t="str">
        <f aca="false">IF(商品目录!B109="","",商品目录!B109)</f>
        <v/>
      </c>
      <c r="B109" s="10" t="str">
        <f aca="false">IF(A109="","",商品目录!C109)</f>
        <v/>
      </c>
      <c r="C109" s="10" t="str">
        <f aca="false">IF(A109="","",商品目录!D109)</f>
        <v/>
      </c>
      <c r="D109" s="15"/>
      <c r="E109" s="10" t="str">
        <f aca="false">IF(A109="","",SUMIFS(采购记录!$D$2:$D$500,采购记录!$B$2:$B$500,A109,采购记录!$C$2:$C$500,B109))</f>
        <v/>
      </c>
      <c r="F109" s="10" t="str">
        <f aca="false">IF(A109="","",SUMIFS(订单登记!$F$2:$F$500,订单登记!$D$2:$D$500,A109,订单登记!$E$2:$E$500,B109))</f>
        <v/>
      </c>
      <c r="G109" s="10" t="str">
        <f aca="false">IF(A109="","",N(D109)+E109-F109)</f>
        <v/>
      </c>
      <c r="H109" s="10" t="str">
        <f aca="false">IF(A109="","",商品目录!I109)</f>
        <v/>
      </c>
      <c r="I109" s="10" t="str">
        <f aca="false">IF(A109="","",IF(ISNUMBER(H109),IF(G109&lt;H109,"该补货",""),""))</f>
        <v/>
      </c>
    </row>
    <row r="110" customFormat="false" ht="15" hidden="false" customHeight="false" outlineLevel="0" collapsed="false">
      <c r="A110" s="10" t="str">
        <f aca="false">IF(商品目录!B110="","",商品目录!B110)</f>
        <v/>
      </c>
      <c r="B110" s="10" t="str">
        <f aca="false">IF(A110="","",商品目录!C110)</f>
        <v/>
      </c>
      <c r="C110" s="10" t="str">
        <f aca="false">IF(A110="","",商品目录!D110)</f>
        <v/>
      </c>
      <c r="D110" s="15"/>
      <c r="E110" s="10" t="str">
        <f aca="false">IF(A110="","",SUMIFS(采购记录!$D$2:$D$500,采购记录!$B$2:$B$500,A110,采购记录!$C$2:$C$500,B110))</f>
        <v/>
      </c>
      <c r="F110" s="10" t="str">
        <f aca="false">IF(A110="","",SUMIFS(订单登记!$F$2:$F$500,订单登记!$D$2:$D$500,A110,订单登记!$E$2:$E$500,B110))</f>
        <v/>
      </c>
      <c r="G110" s="10" t="str">
        <f aca="false">IF(A110="","",N(D110)+E110-F110)</f>
        <v/>
      </c>
      <c r="H110" s="10" t="str">
        <f aca="false">IF(A110="","",商品目录!I110)</f>
        <v/>
      </c>
      <c r="I110" s="10" t="str">
        <f aca="false">IF(A110="","",IF(ISNUMBER(H110),IF(G110&lt;H110,"该补货",""),""))</f>
        <v/>
      </c>
    </row>
    <row r="111" customFormat="false" ht="15" hidden="false" customHeight="false" outlineLevel="0" collapsed="false">
      <c r="A111" s="10" t="str">
        <f aca="false">IF(商品目录!B111="","",商品目录!B111)</f>
        <v/>
      </c>
      <c r="B111" s="10" t="str">
        <f aca="false">IF(A111="","",商品目录!C111)</f>
        <v/>
      </c>
      <c r="C111" s="10" t="str">
        <f aca="false">IF(A111="","",商品目录!D111)</f>
        <v/>
      </c>
      <c r="D111" s="15"/>
      <c r="E111" s="10" t="str">
        <f aca="false">IF(A111="","",SUMIFS(采购记录!$D$2:$D$500,采购记录!$B$2:$B$500,A111,采购记录!$C$2:$C$500,B111))</f>
        <v/>
      </c>
      <c r="F111" s="10" t="str">
        <f aca="false">IF(A111="","",SUMIFS(订单登记!$F$2:$F$500,订单登记!$D$2:$D$500,A111,订单登记!$E$2:$E$500,B111))</f>
        <v/>
      </c>
      <c r="G111" s="10" t="str">
        <f aca="false">IF(A111="","",N(D111)+E111-F111)</f>
        <v/>
      </c>
      <c r="H111" s="10" t="str">
        <f aca="false">IF(A111="","",商品目录!I111)</f>
        <v/>
      </c>
      <c r="I111" s="10" t="str">
        <f aca="false">IF(A111="","",IF(ISNUMBER(H111),IF(G111&lt;H111,"该补货",""),""))</f>
        <v/>
      </c>
    </row>
    <row r="112" customFormat="false" ht="15" hidden="false" customHeight="false" outlineLevel="0" collapsed="false">
      <c r="A112" s="10" t="str">
        <f aca="false">IF(商品目录!B112="","",商品目录!B112)</f>
        <v/>
      </c>
      <c r="B112" s="10" t="str">
        <f aca="false">IF(A112="","",商品目录!C112)</f>
        <v/>
      </c>
      <c r="C112" s="10" t="str">
        <f aca="false">IF(A112="","",商品目录!D112)</f>
        <v/>
      </c>
      <c r="D112" s="15"/>
      <c r="E112" s="10" t="str">
        <f aca="false">IF(A112="","",SUMIFS(采购记录!$D$2:$D$500,采购记录!$B$2:$B$500,A112,采购记录!$C$2:$C$500,B112))</f>
        <v/>
      </c>
      <c r="F112" s="10" t="str">
        <f aca="false">IF(A112="","",SUMIFS(订单登记!$F$2:$F$500,订单登记!$D$2:$D$500,A112,订单登记!$E$2:$E$500,B112))</f>
        <v/>
      </c>
      <c r="G112" s="10" t="str">
        <f aca="false">IF(A112="","",N(D112)+E112-F112)</f>
        <v/>
      </c>
      <c r="H112" s="10" t="str">
        <f aca="false">IF(A112="","",商品目录!I112)</f>
        <v/>
      </c>
      <c r="I112" s="10" t="str">
        <f aca="false">IF(A112="","",IF(ISNUMBER(H112),IF(G112&lt;H112,"该补货",""),""))</f>
        <v/>
      </c>
    </row>
    <row r="113" customFormat="false" ht="15" hidden="false" customHeight="false" outlineLevel="0" collapsed="false">
      <c r="A113" s="10" t="str">
        <f aca="false">IF(商品目录!B113="","",商品目录!B113)</f>
        <v/>
      </c>
      <c r="B113" s="10" t="str">
        <f aca="false">IF(A113="","",商品目录!C113)</f>
        <v/>
      </c>
      <c r="C113" s="10" t="str">
        <f aca="false">IF(A113="","",商品目录!D113)</f>
        <v/>
      </c>
      <c r="D113" s="15"/>
      <c r="E113" s="10" t="str">
        <f aca="false">IF(A113="","",SUMIFS(采购记录!$D$2:$D$500,采购记录!$B$2:$B$500,A113,采购记录!$C$2:$C$500,B113))</f>
        <v/>
      </c>
      <c r="F113" s="10" t="str">
        <f aca="false">IF(A113="","",SUMIFS(订单登记!$F$2:$F$500,订单登记!$D$2:$D$500,A113,订单登记!$E$2:$E$500,B113))</f>
        <v/>
      </c>
      <c r="G113" s="10" t="str">
        <f aca="false">IF(A113="","",N(D113)+E113-F113)</f>
        <v/>
      </c>
      <c r="H113" s="10" t="str">
        <f aca="false">IF(A113="","",商品目录!I113)</f>
        <v/>
      </c>
      <c r="I113" s="10" t="str">
        <f aca="false">IF(A113="","",IF(ISNUMBER(H113),IF(G113&lt;H113,"该补货",""),""))</f>
        <v/>
      </c>
    </row>
    <row r="114" customFormat="false" ht="15" hidden="false" customHeight="false" outlineLevel="0" collapsed="false">
      <c r="A114" s="10" t="str">
        <f aca="false">IF(商品目录!B114="","",商品目录!B114)</f>
        <v/>
      </c>
      <c r="B114" s="10" t="str">
        <f aca="false">IF(A114="","",商品目录!C114)</f>
        <v/>
      </c>
      <c r="C114" s="10" t="str">
        <f aca="false">IF(A114="","",商品目录!D114)</f>
        <v/>
      </c>
      <c r="D114" s="15"/>
      <c r="E114" s="10" t="str">
        <f aca="false">IF(A114="","",SUMIFS(采购记录!$D$2:$D$500,采购记录!$B$2:$B$500,A114,采购记录!$C$2:$C$500,B114))</f>
        <v/>
      </c>
      <c r="F114" s="10" t="str">
        <f aca="false">IF(A114="","",SUMIFS(订单登记!$F$2:$F$500,订单登记!$D$2:$D$500,A114,订单登记!$E$2:$E$500,B114))</f>
        <v/>
      </c>
      <c r="G114" s="10" t="str">
        <f aca="false">IF(A114="","",N(D114)+E114-F114)</f>
        <v/>
      </c>
      <c r="H114" s="10" t="str">
        <f aca="false">IF(A114="","",商品目录!I114)</f>
        <v/>
      </c>
      <c r="I114" s="10" t="str">
        <f aca="false">IF(A114="","",IF(ISNUMBER(H114),IF(G114&lt;H114,"该补货",""),""))</f>
        <v/>
      </c>
    </row>
    <row r="115" customFormat="false" ht="15" hidden="false" customHeight="false" outlineLevel="0" collapsed="false">
      <c r="A115" s="10" t="str">
        <f aca="false">IF(商品目录!B115="","",商品目录!B115)</f>
        <v/>
      </c>
      <c r="B115" s="10" t="str">
        <f aca="false">IF(A115="","",商品目录!C115)</f>
        <v/>
      </c>
      <c r="C115" s="10" t="str">
        <f aca="false">IF(A115="","",商品目录!D115)</f>
        <v/>
      </c>
      <c r="D115" s="15"/>
      <c r="E115" s="10" t="str">
        <f aca="false">IF(A115="","",SUMIFS(采购记录!$D$2:$D$500,采购记录!$B$2:$B$500,A115,采购记录!$C$2:$C$500,B115))</f>
        <v/>
      </c>
      <c r="F115" s="10" t="str">
        <f aca="false">IF(A115="","",SUMIFS(订单登记!$F$2:$F$500,订单登记!$D$2:$D$500,A115,订单登记!$E$2:$E$500,B115))</f>
        <v/>
      </c>
      <c r="G115" s="10" t="str">
        <f aca="false">IF(A115="","",N(D115)+E115-F115)</f>
        <v/>
      </c>
      <c r="H115" s="10" t="str">
        <f aca="false">IF(A115="","",商品目录!I115)</f>
        <v/>
      </c>
      <c r="I115" s="10" t="str">
        <f aca="false">IF(A115="","",IF(ISNUMBER(H115),IF(G115&lt;H115,"该补货",""),""))</f>
        <v/>
      </c>
    </row>
    <row r="116" customFormat="false" ht="15" hidden="false" customHeight="false" outlineLevel="0" collapsed="false">
      <c r="A116" s="10" t="str">
        <f aca="false">IF(商品目录!B116="","",商品目录!B116)</f>
        <v/>
      </c>
      <c r="B116" s="10" t="str">
        <f aca="false">IF(A116="","",商品目录!C116)</f>
        <v/>
      </c>
      <c r="C116" s="10" t="str">
        <f aca="false">IF(A116="","",商品目录!D116)</f>
        <v/>
      </c>
      <c r="D116" s="15"/>
      <c r="E116" s="10" t="str">
        <f aca="false">IF(A116="","",SUMIFS(采购记录!$D$2:$D$500,采购记录!$B$2:$B$500,A116,采购记录!$C$2:$C$500,B116))</f>
        <v/>
      </c>
      <c r="F116" s="10" t="str">
        <f aca="false">IF(A116="","",SUMIFS(订单登记!$F$2:$F$500,订单登记!$D$2:$D$500,A116,订单登记!$E$2:$E$500,B116))</f>
        <v/>
      </c>
      <c r="G116" s="10" t="str">
        <f aca="false">IF(A116="","",N(D116)+E116-F116)</f>
        <v/>
      </c>
      <c r="H116" s="10" t="str">
        <f aca="false">IF(A116="","",商品目录!I116)</f>
        <v/>
      </c>
      <c r="I116" s="10" t="str">
        <f aca="false">IF(A116="","",IF(ISNUMBER(H116),IF(G116&lt;H116,"该补货",""),""))</f>
        <v/>
      </c>
    </row>
    <row r="117" customFormat="false" ht="15" hidden="false" customHeight="false" outlineLevel="0" collapsed="false">
      <c r="A117" s="10" t="str">
        <f aca="false">IF(商品目录!B117="","",商品目录!B117)</f>
        <v/>
      </c>
      <c r="B117" s="10" t="str">
        <f aca="false">IF(A117="","",商品目录!C117)</f>
        <v/>
      </c>
      <c r="C117" s="10" t="str">
        <f aca="false">IF(A117="","",商品目录!D117)</f>
        <v/>
      </c>
      <c r="D117" s="15"/>
      <c r="E117" s="10" t="str">
        <f aca="false">IF(A117="","",SUMIFS(采购记录!$D$2:$D$500,采购记录!$B$2:$B$500,A117,采购记录!$C$2:$C$500,B117))</f>
        <v/>
      </c>
      <c r="F117" s="10" t="str">
        <f aca="false">IF(A117="","",SUMIFS(订单登记!$F$2:$F$500,订单登记!$D$2:$D$500,A117,订单登记!$E$2:$E$500,B117))</f>
        <v/>
      </c>
      <c r="G117" s="10" t="str">
        <f aca="false">IF(A117="","",N(D117)+E117-F117)</f>
        <v/>
      </c>
      <c r="H117" s="10" t="str">
        <f aca="false">IF(A117="","",商品目录!I117)</f>
        <v/>
      </c>
      <c r="I117" s="10" t="str">
        <f aca="false">IF(A117="","",IF(ISNUMBER(H117),IF(G117&lt;H117,"该补货",""),""))</f>
        <v/>
      </c>
    </row>
    <row r="118" customFormat="false" ht="15" hidden="false" customHeight="false" outlineLevel="0" collapsed="false">
      <c r="A118" s="10" t="str">
        <f aca="false">IF(商品目录!B118="","",商品目录!B118)</f>
        <v/>
      </c>
      <c r="B118" s="10" t="str">
        <f aca="false">IF(A118="","",商品目录!C118)</f>
        <v/>
      </c>
      <c r="C118" s="10" t="str">
        <f aca="false">IF(A118="","",商品目录!D118)</f>
        <v/>
      </c>
      <c r="D118" s="15"/>
      <c r="E118" s="10" t="str">
        <f aca="false">IF(A118="","",SUMIFS(采购记录!$D$2:$D$500,采购记录!$B$2:$B$500,A118,采购记录!$C$2:$C$500,B118))</f>
        <v/>
      </c>
      <c r="F118" s="10" t="str">
        <f aca="false">IF(A118="","",SUMIFS(订单登记!$F$2:$F$500,订单登记!$D$2:$D$500,A118,订单登记!$E$2:$E$500,B118))</f>
        <v/>
      </c>
      <c r="G118" s="10" t="str">
        <f aca="false">IF(A118="","",N(D118)+E118-F118)</f>
        <v/>
      </c>
      <c r="H118" s="10" t="str">
        <f aca="false">IF(A118="","",商品目录!I118)</f>
        <v/>
      </c>
      <c r="I118" s="10" t="str">
        <f aca="false">IF(A118="","",IF(ISNUMBER(H118),IF(G118&lt;H118,"该补货",""),""))</f>
        <v/>
      </c>
    </row>
    <row r="119" customFormat="false" ht="15" hidden="false" customHeight="false" outlineLevel="0" collapsed="false">
      <c r="A119" s="10" t="str">
        <f aca="false">IF(商品目录!B119="","",商品目录!B119)</f>
        <v/>
      </c>
      <c r="B119" s="10" t="str">
        <f aca="false">IF(A119="","",商品目录!C119)</f>
        <v/>
      </c>
      <c r="C119" s="10" t="str">
        <f aca="false">IF(A119="","",商品目录!D119)</f>
        <v/>
      </c>
      <c r="D119" s="15"/>
      <c r="E119" s="10" t="str">
        <f aca="false">IF(A119="","",SUMIFS(采购记录!$D$2:$D$500,采购记录!$B$2:$B$500,A119,采购记录!$C$2:$C$500,B119))</f>
        <v/>
      </c>
      <c r="F119" s="10" t="str">
        <f aca="false">IF(A119="","",SUMIFS(订单登记!$F$2:$F$500,订单登记!$D$2:$D$500,A119,订单登记!$E$2:$E$500,B119))</f>
        <v/>
      </c>
      <c r="G119" s="10" t="str">
        <f aca="false">IF(A119="","",N(D119)+E119-F119)</f>
        <v/>
      </c>
      <c r="H119" s="10" t="str">
        <f aca="false">IF(A119="","",商品目录!I119)</f>
        <v/>
      </c>
      <c r="I119" s="10" t="str">
        <f aca="false">IF(A119="","",IF(ISNUMBER(H119),IF(G119&lt;H119,"该补货",""),""))</f>
        <v/>
      </c>
    </row>
    <row r="120" customFormat="false" ht="15" hidden="false" customHeight="false" outlineLevel="0" collapsed="false">
      <c r="A120" s="10" t="str">
        <f aca="false">IF(商品目录!B120="","",商品目录!B120)</f>
        <v/>
      </c>
      <c r="B120" s="10" t="str">
        <f aca="false">IF(A120="","",商品目录!C120)</f>
        <v/>
      </c>
      <c r="C120" s="10" t="str">
        <f aca="false">IF(A120="","",商品目录!D120)</f>
        <v/>
      </c>
      <c r="D120" s="15"/>
      <c r="E120" s="10" t="str">
        <f aca="false">IF(A120="","",SUMIFS(采购记录!$D$2:$D$500,采购记录!$B$2:$B$500,A120,采购记录!$C$2:$C$500,B120))</f>
        <v/>
      </c>
      <c r="F120" s="10" t="str">
        <f aca="false">IF(A120="","",SUMIFS(订单登记!$F$2:$F$500,订单登记!$D$2:$D$500,A120,订单登记!$E$2:$E$500,B120))</f>
        <v/>
      </c>
      <c r="G120" s="10" t="str">
        <f aca="false">IF(A120="","",N(D120)+E120-F120)</f>
        <v/>
      </c>
      <c r="H120" s="10" t="str">
        <f aca="false">IF(A120="","",商品目录!I120)</f>
        <v/>
      </c>
      <c r="I120" s="10" t="str">
        <f aca="false">IF(A120="","",IF(ISNUMBER(H120),IF(G120&lt;H120,"该补货",""),""))</f>
        <v/>
      </c>
    </row>
    <row r="121" customFormat="false" ht="15" hidden="false" customHeight="false" outlineLevel="0" collapsed="false">
      <c r="A121" s="10" t="str">
        <f aca="false">IF(商品目录!B121="","",商品目录!B121)</f>
        <v/>
      </c>
      <c r="B121" s="10" t="str">
        <f aca="false">IF(A121="","",商品目录!C121)</f>
        <v/>
      </c>
      <c r="C121" s="10" t="str">
        <f aca="false">IF(A121="","",商品目录!D121)</f>
        <v/>
      </c>
      <c r="D121" s="15"/>
      <c r="E121" s="10" t="str">
        <f aca="false">IF(A121="","",SUMIFS(采购记录!$D$2:$D$500,采购记录!$B$2:$B$500,A121,采购记录!$C$2:$C$500,B121))</f>
        <v/>
      </c>
      <c r="F121" s="10" t="str">
        <f aca="false">IF(A121="","",SUMIFS(订单登记!$F$2:$F$500,订单登记!$D$2:$D$500,A121,订单登记!$E$2:$E$500,B121))</f>
        <v/>
      </c>
      <c r="G121" s="10" t="str">
        <f aca="false">IF(A121="","",N(D121)+E121-F121)</f>
        <v/>
      </c>
      <c r="H121" s="10" t="str">
        <f aca="false">IF(A121="","",商品目录!I121)</f>
        <v/>
      </c>
      <c r="I121" s="10" t="str">
        <f aca="false">IF(A121="","",IF(ISNUMBER(H121),IF(G121&lt;H121,"该补货",""),""))</f>
        <v/>
      </c>
    </row>
    <row r="122" customFormat="false" ht="15" hidden="false" customHeight="false" outlineLevel="0" collapsed="false">
      <c r="A122" s="10" t="str">
        <f aca="false">IF(商品目录!B122="","",商品目录!B122)</f>
        <v/>
      </c>
      <c r="B122" s="10" t="str">
        <f aca="false">IF(A122="","",商品目录!C122)</f>
        <v/>
      </c>
      <c r="C122" s="10" t="str">
        <f aca="false">IF(A122="","",商品目录!D122)</f>
        <v/>
      </c>
      <c r="D122" s="15"/>
      <c r="E122" s="10" t="str">
        <f aca="false">IF(A122="","",SUMIFS(采购记录!$D$2:$D$500,采购记录!$B$2:$B$500,A122,采购记录!$C$2:$C$500,B122))</f>
        <v/>
      </c>
      <c r="F122" s="10" t="str">
        <f aca="false">IF(A122="","",SUMIFS(订单登记!$F$2:$F$500,订单登记!$D$2:$D$500,A122,订单登记!$E$2:$E$500,B122))</f>
        <v/>
      </c>
      <c r="G122" s="10" t="str">
        <f aca="false">IF(A122="","",N(D122)+E122-F122)</f>
        <v/>
      </c>
      <c r="H122" s="10" t="str">
        <f aca="false">IF(A122="","",商品目录!I122)</f>
        <v/>
      </c>
      <c r="I122" s="10" t="str">
        <f aca="false">IF(A122="","",IF(ISNUMBER(H122),IF(G122&lt;H122,"该补货",""),""))</f>
        <v/>
      </c>
    </row>
    <row r="123" customFormat="false" ht="15" hidden="false" customHeight="false" outlineLevel="0" collapsed="false">
      <c r="A123" s="10" t="str">
        <f aca="false">IF(商品目录!B123="","",商品目录!B123)</f>
        <v/>
      </c>
      <c r="B123" s="10" t="str">
        <f aca="false">IF(A123="","",商品目录!C123)</f>
        <v/>
      </c>
      <c r="C123" s="10" t="str">
        <f aca="false">IF(A123="","",商品目录!D123)</f>
        <v/>
      </c>
      <c r="D123" s="15"/>
      <c r="E123" s="10" t="str">
        <f aca="false">IF(A123="","",SUMIFS(采购记录!$D$2:$D$500,采购记录!$B$2:$B$500,A123,采购记录!$C$2:$C$500,B123))</f>
        <v/>
      </c>
      <c r="F123" s="10" t="str">
        <f aca="false">IF(A123="","",SUMIFS(订单登记!$F$2:$F$500,订单登记!$D$2:$D$500,A123,订单登记!$E$2:$E$500,B123))</f>
        <v/>
      </c>
      <c r="G123" s="10" t="str">
        <f aca="false">IF(A123="","",N(D123)+E123-F123)</f>
        <v/>
      </c>
      <c r="H123" s="10" t="str">
        <f aca="false">IF(A123="","",商品目录!I123)</f>
        <v/>
      </c>
      <c r="I123" s="10" t="str">
        <f aca="false">IF(A123="","",IF(ISNUMBER(H123),IF(G123&lt;H123,"该补货",""),""))</f>
        <v/>
      </c>
    </row>
    <row r="124" customFormat="false" ht="15" hidden="false" customHeight="false" outlineLevel="0" collapsed="false">
      <c r="A124" s="10" t="str">
        <f aca="false">IF(商品目录!B124="","",商品目录!B124)</f>
        <v/>
      </c>
      <c r="B124" s="10" t="str">
        <f aca="false">IF(A124="","",商品目录!C124)</f>
        <v/>
      </c>
      <c r="C124" s="10" t="str">
        <f aca="false">IF(A124="","",商品目录!D124)</f>
        <v/>
      </c>
      <c r="D124" s="15"/>
      <c r="E124" s="10" t="str">
        <f aca="false">IF(A124="","",SUMIFS(采购记录!$D$2:$D$500,采购记录!$B$2:$B$500,A124,采购记录!$C$2:$C$500,B124))</f>
        <v/>
      </c>
      <c r="F124" s="10" t="str">
        <f aca="false">IF(A124="","",SUMIFS(订单登记!$F$2:$F$500,订单登记!$D$2:$D$500,A124,订单登记!$E$2:$E$500,B124))</f>
        <v/>
      </c>
      <c r="G124" s="10" t="str">
        <f aca="false">IF(A124="","",N(D124)+E124-F124)</f>
        <v/>
      </c>
      <c r="H124" s="10" t="str">
        <f aca="false">IF(A124="","",商品目录!I124)</f>
        <v/>
      </c>
      <c r="I124" s="10" t="str">
        <f aca="false">IF(A124="","",IF(ISNUMBER(H124),IF(G124&lt;H124,"该补货",""),""))</f>
        <v/>
      </c>
    </row>
    <row r="125" customFormat="false" ht="15" hidden="false" customHeight="false" outlineLevel="0" collapsed="false">
      <c r="A125" s="10" t="str">
        <f aca="false">IF(商品目录!B125="","",商品目录!B125)</f>
        <v/>
      </c>
      <c r="B125" s="10" t="str">
        <f aca="false">IF(A125="","",商品目录!C125)</f>
        <v/>
      </c>
      <c r="C125" s="10" t="str">
        <f aca="false">IF(A125="","",商品目录!D125)</f>
        <v/>
      </c>
      <c r="D125" s="15"/>
      <c r="E125" s="10" t="str">
        <f aca="false">IF(A125="","",SUMIFS(采购记录!$D$2:$D$500,采购记录!$B$2:$B$500,A125,采购记录!$C$2:$C$500,B125))</f>
        <v/>
      </c>
      <c r="F125" s="10" t="str">
        <f aca="false">IF(A125="","",SUMIFS(订单登记!$F$2:$F$500,订单登记!$D$2:$D$500,A125,订单登记!$E$2:$E$500,B125))</f>
        <v/>
      </c>
      <c r="G125" s="10" t="str">
        <f aca="false">IF(A125="","",N(D125)+E125-F125)</f>
        <v/>
      </c>
      <c r="H125" s="10" t="str">
        <f aca="false">IF(A125="","",商品目录!I125)</f>
        <v/>
      </c>
      <c r="I125" s="10" t="str">
        <f aca="false">IF(A125="","",IF(ISNUMBER(H125),IF(G125&lt;H125,"该补货",""),""))</f>
        <v/>
      </c>
    </row>
    <row r="126" customFormat="false" ht="15" hidden="false" customHeight="false" outlineLevel="0" collapsed="false">
      <c r="A126" s="10" t="str">
        <f aca="false">IF(商品目录!B126="","",商品目录!B126)</f>
        <v/>
      </c>
      <c r="B126" s="10" t="str">
        <f aca="false">IF(A126="","",商品目录!C126)</f>
        <v/>
      </c>
      <c r="C126" s="10" t="str">
        <f aca="false">IF(A126="","",商品目录!D126)</f>
        <v/>
      </c>
      <c r="D126" s="15"/>
      <c r="E126" s="10" t="str">
        <f aca="false">IF(A126="","",SUMIFS(采购记录!$D$2:$D$500,采购记录!$B$2:$B$500,A126,采购记录!$C$2:$C$500,B126))</f>
        <v/>
      </c>
      <c r="F126" s="10" t="str">
        <f aca="false">IF(A126="","",SUMIFS(订单登记!$F$2:$F$500,订单登记!$D$2:$D$500,A126,订单登记!$E$2:$E$500,B126))</f>
        <v/>
      </c>
      <c r="G126" s="10" t="str">
        <f aca="false">IF(A126="","",N(D126)+E126-F126)</f>
        <v/>
      </c>
      <c r="H126" s="10" t="str">
        <f aca="false">IF(A126="","",商品目录!I126)</f>
        <v/>
      </c>
      <c r="I126" s="10" t="str">
        <f aca="false">IF(A126="","",IF(ISNUMBER(H126),IF(G126&lt;H126,"该补货",""),""))</f>
        <v/>
      </c>
    </row>
    <row r="127" customFormat="false" ht="15" hidden="false" customHeight="false" outlineLevel="0" collapsed="false">
      <c r="A127" s="10" t="str">
        <f aca="false">IF(商品目录!B127="","",商品目录!B127)</f>
        <v/>
      </c>
      <c r="B127" s="10" t="str">
        <f aca="false">IF(A127="","",商品目录!C127)</f>
        <v/>
      </c>
      <c r="C127" s="10" t="str">
        <f aca="false">IF(A127="","",商品目录!D127)</f>
        <v/>
      </c>
      <c r="D127" s="15"/>
      <c r="E127" s="10" t="str">
        <f aca="false">IF(A127="","",SUMIFS(采购记录!$D$2:$D$500,采购记录!$B$2:$B$500,A127,采购记录!$C$2:$C$500,B127))</f>
        <v/>
      </c>
      <c r="F127" s="10" t="str">
        <f aca="false">IF(A127="","",SUMIFS(订单登记!$F$2:$F$500,订单登记!$D$2:$D$500,A127,订单登记!$E$2:$E$500,B127))</f>
        <v/>
      </c>
      <c r="G127" s="10" t="str">
        <f aca="false">IF(A127="","",N(D127)+E127-F127)</f>
        <v/>
      </c>
      <c r="H127" s="10" t="str">
        <f aca="false">IF(A127="","",商品目录!I127)</f>
        <v/>
      </c>
      <c r="I127" s="10" t="str">
        <f aca="false">IF(A127="","",IF(ISNUMBER(H127),IF(G127&lt;H127,"该补货",""),""))</f>
        <v/>
      </c>
    </row>
    <row r="128" customFormat="false" ht="15" hidden="false" customHeight="false" outlineLevel="0" collapsed="false">
      <c r="A128" s="10" t="str">
        <f aca="false">IF(商品目录!B128="","",商品目录!B128)</f>
        <v/>
      </c>
      <c r="B128" s="10" t="str">
        <f aca="false">IF(A128="","",商品目录!C128)</f>
        <v/>
      </c>
      <c r="C128" s="10" t="str">
        <f aca="false">IF(A128="","",商品目录!D128)</f>
        <v/>
      </c>
      <c r="D128" s="15"/>
      <c r="E128" s="10" t="str">
        <f aca="false">IF(A128="","",SUMIFS(采购记录!$D$2:$D$500,采购记录!$B$2:$B$500,A128,采购记录!$C$2:$C$500,B128))</f>
        <v/>
      </c>
      <c r="F128" s="10" t="str">
        <f aca="false">IF(A128="","",SUMIFS(订单登记!$F$2:$F$500,订单登记!$D$2:$D$500,A128,订单登记!$E$2:$E$500,B128))</f>
        <v/>
      </c>
      <c r="G128" s="10" t="str">
        <f aca="false">IF(A128="","",N(D128)+E128-F128)</f>
        <v/>
      </c>
      <c r="H128" s="10" t="str">
        <f aca="false">IF(A128="","",商品目录!I128)</f>
        <v/>
      </c>
      <c r="I128" s="10" t="str">
        <f aca="false">IF(A128="","",IF(ISNUMBER(H128),IF(G128&lt;H128,"该补货",""),""))</f>
        <v/>
      </c>
    </row>
    <row r="129" customFormat="false" ht="15" hidden="false" customHeight="false" outlineLevel="0" collapsed="false">
      <c r="A129" s="10" t="str">
        <f aca="false">IF(商品目录!B129="","",商品目录!B129)</f>
        <v/>
      </c>
      <c r="B129" s="10" t="str">
        <f aca="false">IF(A129="","",商品目录!C129)</f>
        <v/>
      </c>
      <c r="C129" s="10" t="str">
        <f aca="false">IF(A129="","",商品目录!D129)</f>
        <v/>
      </c>
      <c r="D129" s="15"/>
      <c r="E129" s="10" t="str">
        <f aca="false">IF(A129="","",SUMIFS(采购记录!$D$2:$D$500,采购记录!$B$2:$B$500,A129,采购记录!$C$2:$C$500,B129))</f>
        <v/>
      </c>
      <c r="F129" s="10" t="str">
        <f aca="false">IF(A129="","",SUMIFS(订单登记!$F$2:$F$500,订单登记!$D$2:$D$500,A129,订单登记!$E$2:$E$500,B129))</f>
        <v/>
      </c>
      <c r="G129" s="10" t="str">
        <f aca="false">IF(A129="","",N(D129)+E129-F129)</f>
        <v/>
      </c>
      <c r="H129" s="10" t="str">
        <f aca="false">IF(A129="","",商品目录!I129)</f>
        <v/>
      </c>
      <c r="I129" s="10" t="str">
        <f aca="false">IF(A129="","",IF(ISNUMBER(H129),IF(G129&lt;H129,"该补货",""),""))</f>
        <v/>
      </c>
    </row>
    <row r="130" customFormat="false" ht="15" hidden="false" customHeight="false" outlineLevel="0" collapsed="false">
      <c r="A130" s="10" t="str">
        <f aca="false">IF(商品目录!B130="","",商品目录!B130)</f>
        <v/>
      </c>
      <c r="B130" s="10" t="str">
        <f aca="false">IF(A130="","",商品目录!C130)</f>
        <v/>
      </c>
      <c r="C130" s="10" t="str">
        <f aca="false">IF(A130="","",商品目录!D130)</f>
        <v/>
      </c>
      <c r="D130" s="15"/>
      <c r="E130" s="10" t="str">
        <f aca="false">IF(A130="","",SUMIFS(采购记录!$D$2:$D$500,采购记录!$B$2:$B$500,A130,采购记录!$C$2:$C$500,B130))</f>
        <v/>
      </c>
      <c r="F130" s="10" t="str">
        <f aca="false">IF(A130="","",SUMIFS(订单登记!$F$2:$F$500,订单登记!$D$2:$D$500,A130,订单登记!$E$2:$E$500,B130))</f>
        <v/>
      </c>
      <c r="G130" s="10" t="str">
        <f aca="false">IF(A130="","",N(D130)+E130-F130)</f>
        <v/>
      </c>
      <c r="H130" s="10" t="str">
        <f aca="false">IF(A130="","",商品目录!I130)</f>
        <v/>
      </c>
      <c r="I130" s="10" t="str">
        <f aca="false">IF(A130="","",IF(ISNUMBER(H130),IF(G130&lt;H130,"该补货",""),""))</f>
        <v/>
      </c>
    </row>
    <row r="131" customFormat="false" ht="15" hidden="false" customHeight="false" outlineLevel="0" collapsed="false">
      <c r="A131" s="10" t="str">
        <f aca="false">IF(商品目录!B131="","",商品目录!B131)</f>
        <v/>
      </c>
      <c r="B131" s="10" t="str">
        <f aca="false">IF(A131="","",商品目录!C131)</f>
        <v/>
      </c>
      <c r="C131" s="10" t="str">
        <f aca="false">IF(A131="","",商品目录!D131)</f>
        <v/>
      </c>
      <c r="D131" s="15"/>
      <c r="E131" s="10" t="str">
        <f aca="false">IF(A131="","",SUMIFS(采购记录!$D$2:$D$500,采购记录!$B$2:$B$500,A131,采购记录!$C$2:$C$500,B131))</f>
        <v/>
      </c>
      <c r="F131" s="10" t="str">
        <f aca="false">IF(A131="","",SUMIFS(订单登记!$F$2:$F$500,订单登记!$D$2:$D$500,A131,订单登记!$E$2:$E$500,B131))</f>
        <v/>
      </c>
      <c r="G131" s="10" t="str">
        <f aca="false">IF(A131="","",N(D131)+E131-F131)</f>
        <v/>
      </c>
      <c r="H131" s="10" t="str">
        <f aca="false">IF(A131="","",商品目录!I131)</f>
        <v/>
      </c>
      <c r="I131" s="10" t="str">
        <f aca="false">IF(A131="","",IF(ISNUMBER(H131),IF(G131&lt;H131,"该补货",""),""))</f>
        <v/>
      </c>
    </row>
    <row r="132" customFormat="false" ht="15" hidden="false" customHeight="false" outlineLevel="0" collapsed="false">
      <c r="A132" s="10" t="str">
        <f aca="false">IF(商品目录!B132="","",商品目录!B132)</f>
        <v/>
      </c>
      <c r="B132" s="10" t="str">
        <f aca="false">IF(A132="","",商品目录!C132)</f>
        <v/>
      </c>
      <c r="C132" s="10" t="str">
        <f aca="false">IF(A132="","",商品目录!D132)</f>
        <v/>
      </c>
      <c r="D132" s="15"/>
      <c r="E132" s="10" t="str">
        <f aca="false">IF(A132="","",SUMIFS(采购记录!$D$2:$D$500,采购记录!$B$2:$B$500,A132,采购记录!$C$2:$C$500,B132))</f>
        <v/>
      </c>
      <c r="F132" s="10" t="str">
        <f aca="false">IF(A132="","",SUMIFS(订单登记!$F$2:$F$500,订单登记!$D$2:$D$500,A132,订单登记!$E$2:$E$500,B132))</f>
        <v/>
      </c>
      <c r="G132" s="10" t="str">
        <f aca="false">IF(A132="","",N(D132)+E132-F132)</f>
        <v/>
      </c>
      <c r="H132" s="10" t="str">
        <f aca="false">IF(A132="","",商品目录!I132)</f>
        <v/>
      </c>
      <c r="I132" s="10" t="str">
        <f aca="false">IF(A132="","",IF(ISNUMBER(H132),IF(G132&lt;H132,"该补货",""),""))</f>
        <v/>
      </c>
    </row>
    <row r="133" customFormat="false" ht="15" hidden="false" customHeight="false" outlineLevel="0" collapsed="false">
      <c r="A133" s="10" t="str">
        <f aca="false">IF(商品目录!B133="","",商品目录!B133)</f>
        <v/>
      </c>
      <c r="B133" s="10" t="str">
        <f aca="false">IF(A133="","",商品目录!C133)</f>
        <v/>
      </c>
      <c r="C133" s="10" t="str">
        <f aca="false">IF(A133="","",商品目录!D133)</f>
        <v/>
      </c>
      <c r="D133" s="15"/>
      <c r="E133" s="10" t="str">
        <f aca="false">IF(A133="","",SUMIFS(采购记录!$D$2:$D$500,采购记录!$B$2:$B$500,A133,采购记录!$C$2:$C$500,B133))</f>
        <v/>
      </c>
      <c r="F133" s="10" t="str">
        <f aca="false">IF(A133="","",SUMIFS(订单登记!$F$2:$F$500,订单登记!$D$2:$D$500,A133,订单登记!$E$2:$E$500,B133))</f>
        <v/>
      </c>
      <c r="G133" s="10" t="str">
        <f aca="false">IF(A133="","",N(D133)+E133-F133)</f>
        <v/>
      </c>
      <c r="H133" s="10" t="str">
        <f aca="false">IF(A133="","",商品目录!I133)</f>
        <v/>
      </c>
      <c r="I133" s="10" t="str">
        <f aca="false">IF(A133="","",IF(ISNUMBER(H133),IF(G133&lt;H133,"该补货",""),""))</f>
        <v/>
      </c>
    </row>
    <row r="134" customFormat="false" ht="15" hidden="false" customHeight="false" outlineLevel="0" collapsed="false">
      <c r="A134" s="10" t="str">
        <f aca="false">IF(商品目录!B134="","",商品目录!B134)</f>
        <v/>
      </c>
      <c r="B134" s="10" t="str">
        <f aca="false">IF(A134="","",商品目录!C134)</f>
        <v/>
      </c>
      <c r="C134" s="10" t="str">
        <f aca="false">IF(A134="","",商品目录!D134)</f>
        <v/>
      </c>
      <c r="D134" s="15"/>
      <c r="E134" s="10" t="str">
        <f aca="false">IF(A134="","",SUMIFS(采购记录!$D$2:$D$500,采购记录!$B$2:$B$500,A134,采购记录!$C$2:$C$500,B134))</f>
        <v/>
      </c>
      <c r="F134" s="10" t="str">
        <f aca="false">IF(A134="","",SUMIFS(订单登记!$F$2:$F$500,订单登记!$D$2:$D$500,A134,订单登记!$E$2:$E$500,B134))</f>
        <v/>
      </c>
      <c r="G134" s="10" t="str">
        <f aca="false">IF(A134="","",N(D134)+E134-F134)</f>
        <v/>
      </c>
      <c r="H134" s="10" t="str">
        <f aca="false">IF(A134="","",商品目录!I134)</f>
        <v/>
      </c>
      <c r="I134" s="10" t="str">
        <f aca="false">IF(A134="","",IF(ISNUMBER(H134),IF(G134&lt;H134,"该补货",""),""))</f>
        <v/>
      </c>
    </row>
    <row r="135" customFormat="false" ht="15" hidden="false" customHeight="false" outlineLevel="0" collapsed="false">
      <c r="A135" s="10" t="str">
        <f aca="false">IF(商品目录!B135="","",商品目录!B135)</f>
        <v/>
      </c>
      <c r="B135" s="10" t="str">
        <f aca="false">IF(A135="","",商品目录!C135)</f>
        <v/>
      </c>
      <c r="C135" s="10" t="str">
        <f aca="false">IF(A135="","",商品目录!D135)</f>
        <v/>
      </c>
      <c r="D135" s="15"/>
      <c r="E135" s="10" t="str">
        <f aca="false">IF(A135="","",SUMIFS(采购记录!$D$2:$D$500,采购记录!$B$2:$B$500,A135,采购记录!$C$2:$C$500,B135))</f>
        <v/>
      </c>
      <c r="F135" s="10" t="str">
        <f aca="false">IF(A135="","",SUMIFS(订单登记!$F$2:$F$500,订单登记!$D$2:$D$500,A135,订单登记!$E$2:$E$500,B135))</f>
        <v/>
      </c>
      <c r="G135" s="10" t="str">
        <f aca="false">IF(A135="","",N(D135)+E135-F135)</f>
        <v/>
      </c>
      <c r="H135" s="10" t="str">
        <f aca="false">IF(A135="","",商品目录!I135)</f>
        <v/>
      </c>
      <c r="I135" s="10" t="str">
        <f aca="false">IF(A135="","",IF(ISNUMBER(H135),IF(G135&lt;H135,"该补货",""),""))</f>
        <v/>
      </c>
    </row>
    <row r="136" customFormat="false" ht="15" hidden="false" customHeight="false" outlineLevel="0" collapsed="false">
      <c r="A136" s="10" t="str">
        <f aca="false">IF(商品目录!B136="","",商品目录!B136)</f>
        <v/>
      </c>
      <c r="B136" s="10" t="str">
        <f aca="false">IF(A136="","",商品目录!C136)</f>
        <v/>
      </c>
      <c r="C136" s="10" t="str">
        <f aca="false">IF(A136="","",商品目录!D136)</f>
        <v/>
      </c>
      <c r="D136" s="15"/>
      <c r="E136" s="10" t="str">
        <f aca="false">IF(A136="","",SUMIFS(采购记录!$D$2:$D$500,采购记录!$B$2:$B$500,A136,采购记录!$C$2:$C$500,B136))</f>
        <v/>
      </c>
      <c r="F136" s="10" t="str">
        <f aca="false">IF(A136="","",SUMIFS(订单登记!$F$2:$F$500,订单登记!$D$2:$D$500,A136,订单登记!$E$2:$E$500,B136))</f>
        <v/>
      </c>
      <c r="G136" s="10" t="str">
        <f aca="false">IF(A136="","",N(D136)+E136-F136)</f>
        <v/>
      </c>
      <c r="H136" s="10" t="str">
        <f aca="false">IF(A136="","",商品目录!I136)</f>
        <v/>
      </c>
      <c r="I136" s="10" t="str">
        <f aca="false">IF(A136="","",IF(ISNUMBER(H136),IF(G136&lt;H136,"该补货",""),""))</f>
        <v/>
      </c>
    </row>
    <row r="137" customFormat="false" ht="15" hidden="false" customHeight="false" outlineLevel="0" collapsed="false">
      <c r="A137" s="10" t="str">
        <f aca="false">IF(商品目录!B137="","",商品目录!B137)</f>
        <v/>
      </c>
      <c r="B137" s="10" t="str">
        <f aca="false">IF(A137="","",商品目录!C137)</f>
        <v/>
      </c>
      <c r="C137" s="10" t="str">
        <f aca="false">IF(A137="","",商品目录!D137)</f>
        <v/>
      </c>
      <c r="D137" s="15"/>
      <c r="E137" s="10" t="str">
        <f aca="false">IF(A137="","",SUMIFS(采购记录!$D$2:$D$500,采购记录!$B$2:$B$500,A137,采购记录!$C$2:$C$500,B137))</f>
        <v/>
      </c>
      <c r="F137" s="10" t="str">
        <f aca="false">IF(A137="","",SUMIFS(订单登记!$F$2:$F$500,订单登记!$D$2:$D$500,A137,订单登记!$E$2:$E$500,B137))</f>
        <v/>
      </c>
      <c r="G137" s="10" t="str">
        <f aca="false">IF(A137="","",N(D137)+E137-F137)</f>
        <v/>
      </c>
      <c r="H137" s="10" t="str">
        <f aca="false">IF(A137="","",商品目录!I137)</f>
        <v/>
      </c>
      <c r="I137" s="10" t="str">
        <f aca="false">IF(A137="","",IF(ISNUMBER(H137),IF(G137&lt;H137,"该补货",""),""))</f>
        <v/>
      </c>
    </row>
    <row r="138" customFormat="false" ht="15" hidden="false" customHeight="false" outlineLevel="0" collapsed="false">
      <c r="A138" s="10" t="str">
        <f aca="false">IF(商品目录!B138="","",商品目录!B138)</f>
        <v/>
      </c>
      <c r="B138" s="10" t="str">
        <f aca="false">IF(A138="","",商品目录!C138)</f>
        <v/>
      </c>
      <c r="C138" s="10" t="str">
        <f aca="false">IF(A138="","",商品目录!D138)</f>
        <v/>
      </c>
      <c r="D138" s="15"/>
      <c r="E138" s="10" t="str">
        <f aca="false">IF(A138="","",SUMIFS(采购记录!$D$2:$D$500,采购记录!$B$2:$B$500,A138,采购记录!$C$2:$C$500,B138))</f>
        <v/>
      </c>
      <c r="F138" s="10" t="str">
        <f aca="false">IF(A138="","",SUMIFS(订单登记!$F$2:$F$500,订单登记!$D$2:$D$500,A138,订单登记!$E$2:$E$500,B138))</f>
        <v/>
      </c>
      <c r="G138" s="10" t="str">
        <f aca="false">IF(A138="","",N(D138)+E138-F138)</f>
        <v/>
      </c>
      <c r="H138" s="10" t="str">
        <f aca="false">IF(A138="","",商品目录!I138)</f>
        <v/>
      </c>
      <c r="I138" s="10" t="str">
        <f aca="false">IF(A138="","",IF(ISNUMBER(H138),IF(G138&lt;H138,"该补货",""),""))</f>
        <v/>
      </c>
    </row>
    <row r="139" customFormat="false" ht="15" hidden="false" customHeight="false" outlineLevel="0" collapsed="false">
      <c r="A139" s="10" t="str">
        <f aca="false">IF(商品目录!B139="","",商品目录!B139)</f>
        <v/>
      </c>
      <c r="B139" s="10" t="str">
        <f aca="false">IF(A139="","",商品目录!C139)</f>
        <v/>
      </c>
      <c r="C139" s="10" t="str">
        <f aca="false">IF(A139="","",商品目录!D139)</f>
        <v/>
      </c>
      <c r="D139" s="15"/>
      <c r="E139" s="10" t="str">
        <f aca="false">IF(A139="","",SUMIFS(采购记录!$D$2:$D$500,采购记录!$B$2:$B$500,A139,采购记录!$C$2:$C$500,B139))</f>
        <v/>
      </c>
      <c r="F139" s="10" t="str">
        <f aca="false">IF(A139="","",SUMIFS(订单登记!$F$2:$F$500,订单登记!$D$2:$D$500,A139,订单登记!$E$2:$E$500,B139))</f>
        <v/>
      </c>
      <c r="G139" s="10" t="str">
        <f aca="false">IF(A139="","",N(D139)+E139-F139)</f>
        <v/>
      </c>
      <c r="H139" s="10" t="str">
        <f aca="false">IF(A139="","",商品目录!I139)</f>
        <v/>
      </c>
      <c r="I139" s="10" t="str">
        <f aca="false">IF(A139="","",IF(ISNUMBER(H139),IF(G139&lt;H139,"该补货",""),""))</f>
        <v/>
      </c>
    </row>
    <row r="140" customFormat="false" ht="15" hidden="false" customHeight="false" outlineLevel="0" collapsed="false">
      <c r="A140" s="10" t="str">
        <f aca="false">IF(商品目录!B140="","",商品目录!B140)</f>
        <v/>
      </c>
      <c r="B140" s="10" t="str">
        <f aca="false">IF(A140="","",商品目录!C140)</f>
        <v/>
      </c>
      <c r="C140" s="10" t="str">
        <f aca="false">IF(A140="","",商品目录!D140)</f>
        <v/>
      </c>
      <c r="D140" s="15"/>
      <c r="E140" s="10" t="str">
        <f aca="false">IF(A140="","",SUMIFS(采购记录!$D$2:$D$500,采购记录!$B$2:$B$500,A140,采购记录!$C$2:$C$500,B140))</f>
        <v/>
      </c>
      <c r="F140" s="10" t="str">
        <f aca="false">IF(A140="","",SUMIFS(订单登记!$F$2:$F$500,订单登记!$D$2:$D$500,A140,订单登记!$E$2:$E$500,B140))</f>
        <v/>
      </c>
      <c r="G140" s="10" t="str">
        <f aca="false">IF(A140="","",N(D140)+E140-F140)</f>
        <v/>
      </c>
      <c r="H140" s="10" t="str">
        <f aca="false">IF(A140="","",商品目录!I140)</f>
        <v/>
      </c>
      <c r="I140" s="10" t="str">
        <f aca="false">IF(A140="","",IF(ISNUMBER(H140),IF(G140&lt;H140,"该补货",""),""))</f>
        <v/>
      </c>
    </row>
    <row r="141" customFormat="false" ht="15" hidden="false" customHeight="false" outlineLevel="0" collapsed="false">
      <c r="A141" s="10" t="str">
        <f aca="false">IF(商品目录!B141="","",商品目录!B141)</f>
        <v/>
      </c>
      <c r="B141" s="10" t="str">
        <f aca="false">IF(A141="","",商品目录!C141)</f>
        <v/>
      </c>
      <c r="C141" s="10" t="str">
        <f aca="false">IF(A141="","",商品目录!D141)</f>
        <v/>
      </c>
      <c r="D141" s="15"/>
      <c r="E141" s="10" t="str">
        <f aca="false">IF(A141="","",SUMIFS(采购记录!$D$2:$D$500,采购记录!$B$2:$B$500,A141,采购记录!$C$2:$C$500,B141))</f>
        <v/>
      </c>
      <c r="F141" s="10" t="str">
        <f aca="false">IF(A141="","",SUMIFS(订单登记!$F$2:$F$500,订单登记!$D$2:$D$500,A141,订单登记!$E$2:$E$500,B141))</f>
        <v/>
      </c>
      <c r="G141" s="10" t="str">
        <f aca="false">IF(A141="","",N(D141)+E141-F141)</f>
        <v/>
      </c>
      <c r="H141" s="10" t="str">
        <f aca="false">IF(A141="","",商品目录!I141)</f>
        <v/>
      </c>
      <c r="I141" s="10" t="str">
        <f aca="false">IF(A141="","",IF(ISNUMBER(H141),IF(G141&lt;H141,"该补货",""),""))</f>
        <v/>
      </c>
    </row>
    <row r="142" customFormat="false" ht="15" hidden="false" customHeight="false" outlineLevel="0" collapsed="false">
      <c r="A142" s="10" t="str">
        <f aca="false">IF(商品目录!B142="","",商品目录!B142)</f>
        <v/>
      </c>
      <c r="B142" s="10" t="str">
        <f aca="false">IF(A142="","",商品目录!C142)</f>
        <v/>
      </c>
      <c r="C142" s="10" t="str">
        <f aca="false">IF(A142="","",商品目录!D142)</f>
        <v/>
      </c>
      <c r="D142" s="15"/>
      <c r="E142" s="10" t="str">
        <f aca="false">IF(A142="","",SUMIFS(采购记录!$D$2:$D$500,采购记录!$B$2:$B$500,A142,采购记录!$C$2:$C$500,B142))</f>
        <v/>
      </c>
      <c r="F142" s="10" t="str">
        <f aca="false">IF(A142="","",SUMIFS(订单登记!$F$2:$F$500,订单登记!$D$2:$D$500,A142,订单登记!$E$2:$E$500,B142))</f>
        <v/>
      </c>
      <c r="G142" s="10" t="str">
        <f aca="false">IF(A142="","",N(D142)+E142-F142)</f>
        <v/>
      </c>
      <c r="H142" s="10" t="str">
        <f aca="false">IF(A142="","",商品目录!I142)</f>
        <v/>
      </c>
      <c r="I142" s="10" t="str">
        <f aca="false">IF(A142="","",IF(ISNUMBER(H142),IF(G142&lt;H142,"该补货",""),""))</f>
        <v/>
      </c>
    </row>
    <row r="143" customFormat="false" ht="15" hidden="false" customHeight="false" outlineLevel="0" collapsed="false">
      <c r="A143" s="10" t="str">
        <f aca="false">IF(商品目录!B143="","",商品目录!B143)</f>
        <v/>
      </c>
      <c r="B143" s="10" t="str">
        <f aca="false">IF(A143="","",商品目录!C143)</f>
        <v/>
      </c>
      <c r="C143" s="10" t="str">
        <f aca="false">IF(A143="","",商品目录!D143)</f>
        <v/>
      </c>
      <c r="D143" s="15"/>
      <c r="E143" s="10" t="str">
        <f aca="false">IF(A143="","",SUMIFS(采购记录!$D$2:$D$500,采购记录!$B$2:$B$500,A143,采购记录!$C$2:$C$500,B143))</f>
        <v/>
      </c>
      <c r="F143" s="10" t="str">
        <f aca="false">IF(A143="","",SUMIFS(订单登记!$F$2:$F$500,订单登记!$D$2:$D$500,A143,订单登记!$E$2:$E$500,B143))</f>
        <v/>
      </c>
      <c r="G143" s="10" t="str">
        <f aca="false">IF(A143="","",N(D143)+E143-F143)</f>
        <v/>
      </c>
      <c r="H143" s="10" t="str">
        <f aca="false">IF(A143="","",商品目录!I143)</f>
        <v/>
      </c>
      <c r="I143" s="10" t="str">
        <f aca="false">IF(A143="","",IF(ISNUMBER(H143),IF(G143&lt;H143,"该补货",""),""))</f>
        <v/>
      </c>
    </row>
    <row r="144" customFormat="false" ht="15" hidden="false" customHeight="false" outlineLevel="0" collapsed="false">
      <c r="A144" s="10" t="str">
        <f aca="false">IF(商品目录!B144="","",商品目录!B144)</f>
        <v/>
      </c>
      <c r="B144" s="10" t="str">
        <f aca="false">IF(A144="","",商品目录!C144)</f>
        <v/>
      </c>
      <c r="C144" s="10" t="str">
        <f aca="false">IF(A144="","",商品目录!D144)</f>
        <v/>
      </c>
      <c r="D144" s="15"/>
      <c r="E144" s="10" t="str">
        <f aca="false">IF(A144="","",SUMIFS(采购记录!$D$2:$D$500,采购记录!$B$2:$B$500,A144,采购记录!$C$2:$C$500,B144))</f>
        <v/>
      </c>
      <c r="F144" s="10" t="str">
        <f aca="false">IF(A144="","",SUMIFS(订单登记!$F$2:$F$500,订单登记!$D$2:$D$500,A144,订单登记!$E$2:$E$500,B144))</f>
        <v/>
      </c>
      <c r="G144" s="10" t="str">
        <f aca="false">IF(A144="","",N(D144)+E144-F144)</f>
        <v/>
      </c>
      <c r="H144" s="10" t="str">
        <f aca="false">IF(A144="","",商品目录!I144)</f>
        <v/>
      </c>
      <c r="I144" s="10" t="str">
        <f aca="false">IF(A144="","",IF(ISNUMBER(H144),IF(G144&lt;H144,"该补货",""),""))</f>
        <v/>
      </c>
    </row>
    <row r="145" customFormat="false" ht="15" hidden="false" customHeight="false" outlineLevel="0" collapsed="false">
      <c r="A145" s="10" t="str">
        <f aca="false">IF(商品目录!B145="","",商品目录!B145)</f>
        <v/>
      </c>
      <c r="B145" s="10" t="str">
        <f aca="false">IF(A145="","",商品目录!C145)</f>
        <v/>
      </c>
      <c r="C145" s="10" t="str">
        <f aca="false">IF(A145="","",商品目录!D145)</f>
        <v/>
      </c>
      <c r="D145" s="15"/>
      <c r="E145" s="10" t="str">
        <f aca="false">IF(A145="","",SUMIFS(采购记录!$D$2:$D$500,采购记录!$B$2:$B$500,A145,采购记录!$C$2:$C$500,B145))</f>
        <v/>
      </c>
      <c r="F145" s="10" t="str">
        <f aca="false">IF(A145="","",SUMIFS(订单登记!$F$2:$F$500,订单登记!$D$2:$D$500,A145,订单登记!$E$2:$E$500,B145))</f>
        <v/>
      </c>
      <c r="G145" s="10" t="str">
        <f aca="false">IF(A145="","",N(D145)+E145-F145)</f>
        <v/>
      </c>
      <c r="H145" s="10" t="str">
        <f aca="false">IF(A145="","",商品目录!I145)</f>
        <v/>
      </c>
      <c r="I145" s="10" t="str">
        <f aca="false">IF(A145="","",IF(ISNUMBER(H145),IF(G145&lt;H145,"该补货",""),""))</f>
        <v/>
      </c>
    </row>
    <row r="146" customFormat="false" ht="15" hidden="false" customHeight="false" outlineLevel="0" collapsed="false">
      <c r="A146" s="10" t="str">
        <f aca="false">IF(商品目录!B146="","",商品目录!B146)</f>
        <v/>
      </c>
      <c r="B146" s="10" t="str">
        <f aca="false">IF(A146="","",商品目录!C146)</f>
        <v/>
      </c>
      <c r="C146" s="10" t="str">
        <f aca="false">IF(A146="","",商品目录!D146)</f>
        <v/>
      </c>
      <c r="D146" s="15"/>
      <c r="E146" s="10" t="str">
        <f aca="false">IF(A146="","",SUMIFS(采购记录!$D$2:$D$500,采购记录!$B$2:$B$500,A146,采购记录!$C$2:$C$500,B146))</f>
        <v/>
      </c>
      <c r="F146" s="10" t="str">
        <f aca="false">IF(A146="","",SUMIFS(订单登记!$F$2:$F$500,订单登记!$D$2:$D$500,A146,订单登记!$E$2:$E$500,B146))</f>
        <v/>
      </c>
      <c r="G146" s="10" t="str">
        <f aca="false">IF(A146="","",N(D146)+E146-F146)</f>
        <v/>
      </c>
      <c r="H146" s="10" t="str">
        <f aca="false">IF(A146="","",商品目录!I146)</f>
        <v/>
      </c>
      <c r="I146" s="10" t="str">
        <f aca="false">IF(A146="","",IF(ISNUMBER(H146),IF(G146&lt;H146,"该补货",""),""))</f>
        <v/>
      </c>
    </row>
    <row r="147" customFormat="false" ht="15" hidden="false" customHeight="false" outlineLevel="0" collapsed="false">
      <c r="A147" s="10" t="str">
        <f aca="false">IF(商品目录!B147="","",商品目录!B147)</f>
        <v/>
      </c>
      <c r="B147" s="10" t="str">
        <f aca="false">IF(A147="","",商品目录!C147)</f>
        <v/>
      </c>
      <c r="C147" s="10" t="str">
        <f aca="false">IF(A147="","",商品目录!D147)</f>
        <v/>
      </c>
      <c r="D147" s="15"/>
      <c r="E147" s="10" t="str">
        <f aca="false">IF(A147="","",SUMIFS(采购记录!$D$2:$D$500,采购记录!$B$2:$B$500,A147,采购记录!$C$2:$C$500,B147))</f>
        <v/>
      </c>
      <c r="F147" s="10" t="str">
        <f aca="false">IF(A147="","",SUMIFS(订单登记!$F$2:$F$500,订单登记!$D$2:$D$500,A147,订单登记!$E$2:$E$500,B147))</f>
        <v/>
      </c>
      <c r="G147" s="10" t="str">
        <f aca="false">IF(A147="","",N(D147)+E147-F147)</f>
        <v/>
      </c>
      <c r="H147" s="10" t="str">
        <f aca="false">IF(A147="","",商品目录!I147)</f>
        <v/>
      </c>
      <c r="I147" s="10" t="str">
        <f aca="false">IF(A147="","",IF(ISNUMBER(H147),IF(G147&lt;H147,"该补货",""),""))</f>
        <v/>
      </c>
    </row>
    <row r="148" customFormat="false" ht="15" hidden="false" customHeight="false" outlineLevel="0" collapsed="false">
      <c r="A148" s="10" t="str">
        <f aca="false">IF(商品目录!B148="","",商品目录!B148)</f>
        <v/>
      </c>
      <c r="B148" s="10" t="str">
        <f aca="false">IF(A148="","",商品目录!C148)</f>
        <v/>
      </c>
      <c r="C148" s="10" t="str">
        <f aca="false">IF(A148="","",商品目录!D148)</f>
        <v/>
      </c>
      <c r="D148" s="15"/>
      <c r="E148" s="10" t="str">
        <f aca="false">IF(A148="","",SUMIFS(采购记录!$D$2:$D$500,采购记录!$B$2:$B$500,A148,采购记录!$C$2:$C$500,B148))</f>
        <v/>
      </c>
      <c r="F148" s="10" t="str">
        <f aca="false">IF(A148="","",SUMIFS(订单登记!$F$2:$F$500,订单登记!$D$2:$D$500,A148,订单登记!$E$2:$E$500,B148))</f>
        <v/>
      </c>
      <c r="G148" s="10" t="str">
        <f aca="false">IF(A148="","",N(D148)+E148-F148)</f>
        <v/>
      </c>
      <c r="H148" s="10" t="str">
        <f aca="false">IF(A148="","",商品目录!I148)</f>
        <v/>
      </c>
      <c r="I148" s="10" t="str">
        <f aca="false">IF(A148="","",IF(ISNUMBER(H148),IF(G148&lt;H148,"该补货",""),""))</f>
        <v/>
      </c>
    </row>
    <row r="149" customFormat="false" ht="15" hidden="false" customHeight="false" outlineLevel="0" collapsed="false">
      <c r="A149" s="10" t="str">
        <f aca="false">IF(商品目录!B149="","",商品目录!B149)</f>
        <v/>
      </c>
      <c r="B149" s="10" t="str">
        <f aca="false">IF(A149="","",商品目录!C149)</f>
        <v/>
      </c>
      <c r="C149" s="10" t="str">
        <f aca="false">IF(A149="","",商品目录!D149)</f>
        <v/>
      </c>
      <c r="D149" s="15"/>
      <c r="E149" s="10" t="str">
        <f aca="false">IF(A149="","",SUMIFS(采购记录!$D$2:$D$500,采购记录!$B$2:$B$500,A149,采购记录!$C$2:$C$500,B149))</f>
        <v/>
      </c>
      <c r="F149" s="10" t="str">
        <f aca="false">IF(A149="","",SUMIFS(订单登记!$F$2:$F$500,订单登记!$D$2:$D$500,A149,订单登记!$E$2:$E$500,B149))</f>
        <v/>
      </c>
      <c r="G149" s="10" t="str">
        <f aca="false">IF(A149="","",N(D149)+E149-F149)</f>
        <v/>
      </c>
      <c r="H149" s="10" t="str">
        <f aca="false">IF(A149="","",商品目录!I149)</f>
        <v/>
      </c>
      <c r="I149" s="10" t="str">
        <f aca="false">IF(A149="","",IF(ISNUMBER(H149),IF(G149&lt;H149,"该补货",""),""))</f>
        <v/>
      </c>
    </row>
    <row r="150" customFormat="false" ht="15" hidden="false" customHeight="false" outlineLevel="0" collapsed="false">
      <c r="A150" s="10" t="str">
        <f aca="false">IF(商品目录!B150="","",商品目录!B150)</f>
        <v/>
      </c>
      <c r="B150" s="10" t="str">
        <f aca="false">IF(A150="","",商品目录!C150)</f>
        <v/>
      </c>
      <c r="C150" s="10" t="str">
        <f aca="false">IF(A150="","",商品目录!D150)</f>
        <v/>
      </c>
      <c r="D150" s="15"/>
      <c r="E150" s="10" t="str">
        <f aca="false">IF(A150="","",SUMIFS(采购记录!$D$2:$D$500,采购记录!$B$2:$B$500,A150,采购记录!$C$2:$C$500,B150))</f>
        <v/>
      </c>
      <c r="F150" s="10" t="str">
        <f aca="false">IF(A150="","",SUMIFS(订单登记!$F$2:$F$500,订单登记!$D$2:$D$500,A150,订单登记!$E$2:$E$500,B150))</f>
        <v/>
      </c>
      <c r="G150" s="10" t="str">
        <f aca="false">IF(A150="","",N(D150)+E150-F150)</f>
        <v/>
      </c>
      <c r="H150" s="10" t="str">
        <f aca="false">IF(A150="","",商品目录!I150)</f>
        <v/>
      </c>
      <c r="I150" s="10" t="str">
        <f aca="false">IF(A150="","",IF(ISNUMBER(H150),IF(G150&lt;H150,"该补货",""),""))</f>
        <v/>
      </c>
    </row>
    <row r="151" customFormat="false" ht="15" hidden="false" customHeight="false" outlineLevel="0" collapsed="false">
      <c r="A151" s="10" t="str">
        <f aca="false">IF(商品目录!B151="","",商品目录!B151)</f>
        <v/>
      </c>
      <c r="B151" s="10" t="str">
        <f aca="false">IF(A151="","",商品目录!C151)</f>
        <v/>
      </c>
      <c r="C151" s="10" t="str">
        <f aca="false">IF(A151="","",商品目录!D151)</f>
        <v/>
      </c>
      <c r="D151" s="15"/>
      <c r="E151" s="10" t="str">
        <f aca="false">IF(A151="","",SUMIFS(采购记录!$D$2:$D$500,采购记录!$B$2:$B$500,A151,采购记录!$C$2:$C$500,B151))</f>
        <v/>
      </c>
      <c r="F151" s="10" t="str">
        <f aca="false">IF(A151="","",SUMIFS(订单登记!$F$2:$F$500,订单登记!$D$2:$D$500,A151,订单登记!$E$2:$E$500,B151))</f>
        <v/>
      </c>
      <c r="G151" s="10" t="str">
        <f aca="false">IF(A151="","",N(D151)+E151-F151)</f>
        <v/>
      </c>
      <c r="H151" s="10" t="str">
        <f aca="false">IF(A151="","",商品目录!I151)</f>
        <v/>
      </c>
      <c r="I151" s="10" t="str">
        <f aca="false">IF(A151="","",IF(ISNUMBER(H151),IF(G151&lt;H151,"该补货",""),""))</f>
        <v/>
      </c>
    </row>
    <row r="152" customFormat="false" ht="15" hidden="false" customHeight="false" outlineLevel="0" collapsed="false">
      <c r="A152" s="10" t="str">
        <f aca="false">IF(商品目录!B152="","",商品目录!B152)</f>
        <v/>
      </c>
      <c r="B152" s="10" t="str">
        <f aca="false">IF(A152="","",商品目录!C152)</f>
        <v/>
      </c>
      <c r="C152" s="10" t="str">
        <f aca="false">IF(A152="","",商品目录!D152)</f>
        <v/>
      </c>
      <c r="D152" s="15"/>
      <c r="E152" s="10" t="str">
        <f aca="false">IF(A152="","",SUMIFS(采购记录!$D$2:$D$500,采购记录!$B$2:$B$500,A152,采购记录!$C$2:$C$500,B152))</f>
        <v/>
      </c>
      <c r="F152" s="10" t="str">
        <f aca="false">IF(A152="","",SUMIFS(订单登记!$F$2:$F$500,订单登记!$D$2:$D$500,A152,订单登记!$E$2:$E$500,B152))</f>
        <v/>
      </c>
      <c r="G152" s="10" t="str">
        <f aca="false">IF(A152="","",N(D152)+E152-F152)</f>
        <v/>
      </c>
      <c r="H152" s="10" t="str">
        <f aca="false">IF(A152="","",商品目录!I152)</f>
        <v/>
      </c>
      <c r="I152" s="10" t="str">
        <f aca="false">IF(A152="","",IF(ISNUMBER(H152),IF(G152&lt;H152,"该补货",""),""))</f>
        <v/>
      </c>
    </row>
    <row r="153" customFormat="false" ht="15" hidden="false" customHeight="false" outlineLevel="0" collapsed="false">
      <c r="A153" s="10" t="str">
        <f aca="false">IF(商品目录!B153="","",商品目录!B153)</f>
        <v/>
      </c>
      <c r="B153" s="10" t="str">
        <f aca="false">IF(A153="","",商品目录!C153)</f>
        <v/>
      </c>
      <c r="C153" s="10" t="str">
        <f aca="false">IF(A153="","",商品目录!D153)</f>
        <v/>
      </c>
      <c r="D153" s="15"/>
      <c r="E153" s="10" t="str">
        <f aca="false">IF(A153="","",SUMIFS(采购记录!$D$2:$D$500,采购记录!$B$2:$B$500,A153,采购记录!$C$2:$C$500,B153))</f>
        <v/>
      </c>
      <c r="F153" s="10" t="str">
        <f aca="false">IF(A153="","",SUMIFS(订单登记!$F$2:$F$500,订单登记!$D$2:$D$500,A153,订单登记!$E$2:$E$500,B153))</f>
        <v/>
      </c>
      <c r="G153" s="10" t="str">
        <f aca="false">IF(A153="","",N(D153)+E153-F153)</f>
        <v/>
      </c>
      <c r="H153" s="10" t="str">
        <f aca="false">IF(A153="","",商品目录!I153)</f>
        <v/>
      </c>
      <c r="I153" s="10" t="str">
        <f aca="false">IF(A153="","",IF(ISNUMBER(H153),IF(G153&lt;H153,"该补货",""),""))</f>
        <v/>
      </c>
    </row>
    <row r="154" customFormat="false" ht="15" hidden="false" customHeight="false" outlineLevel="0" collapsed="false">
      <c r="A154" s="10" t="str">
        <f aca="false">IF(商品目录!B154="","",商品目录!B154)</f>
        <v/>
      </c>
      <c r="B154" s="10" t="str">
        <f aca="false">IF(A154="","",商品目录!C154)</f>
        <v/>
      </c>
      <c r="C154" s="10" t="str">
        <f aca="false">IF(A154="","",商品目录!D154)</f>
        <v/>
      </c>
      <c r="D154" s="15"/>
      <c r="E154" s="10" t="str">
        <f aca="false">IF(A154="","",SUMIFS(采购记录!$D$2:$D$500,采购记录!$B$2:$B$500,A154,采购记录!$C$2:$C$500,B154))</f>
        <v/>
      </c>
      <c r="F154" s="10" t="str">
        <f aca="false">IF(A154="","",SUMIFS(订单登记!$F$2:$F$500,订单登记!$D$2:$D$500,A154,订单登记!$E$2:$E$500,B154))</f>
        <v/>
      </c>
      <c r="G154" s="10" t="str">
        <f aca="false">IF(A154="","",N(D154)+E154-F154)</f>
        <v/>
      </c>
      <c r="H154" s="10" t="str">
        <f aca="false">IF(A154="","",商品目录!I154)</f>
        <v/>
      </c>
      <c r="I154" s="10" t="str">
        <f aca="false">IF(A154="","",IF(ISNUMBER(H154),IF(G154&lt;H154,"该补货",""),""))</f>
        <v/>
      </c>
    </row>
    <row r="155" customFormat="false" ht="15" hidden="false" customHeight="false" outlineLevel="0" collapsed="false">
      <c r="A155" s="10" t="str">
        <f aca="false">IF(商品目录!B155="","",商品目录!B155)</f>
        <v/>
      </c>
      <c r="B155" s="10" t="str">
        <f aca="false">IF(A155="","",商品目录!C155)</f>
        <v/>
      </c>
      <c r="C155" s="10" t="str">
        <f aca="false">IF(A155="","",商品目录!D155)</f>
        <v/>
      </c>
      <c r="D155" s="15"/>
      <c r="E155" s="10" t="str">
        <f aca="false">IF(A155="","",SUMIFS(采购记录!$D$2:$D$500,采购记录!$B$2:$B$500,A155,采购记录!$C$2:$C$500,B155))</f>
        <v/>
      </c>
      <c r="F155" s="10" t="str">
        <f aca="false">IF(A155="","",SUMIFS(订单登记!$F$2:$F$500,订单登记!$D$2:$D$500,A155,订单登记!$E$2:$E$500,B155))</f>
        <v/>
      </c>
      <c r="G155" s="10" t="str">
        <f aca="false">IF(A155="","",N(D155)+E155-F155)</f>
        <v/>
      </c>
      <c r="H155" s="10" t="str">
        <f aca="false">IF(A155="","",商品目录!I155)</f>
        <v/>
      </c>
      <c r="I155" s="10" t="str">
        <f aca="false">IF(A155="","",IF(ISNUMBER(H155),IF(G155&lt;H155,"该补货",""),""))</f>
        <v/>
      </c>
    </row>
    <row r="156" customFormat="false" ht="15" hidden="false" customHeight="false" outlineLevel="0" collapsed="false">
      <c r="A156" s="10" t="str">
        <f aca="false">IF(商品目录!B156="","",商品目录!B156)</f>
        <v/>
      </c>
      <c r="B156" s="10" t="str">
        <f aca="false">IF(A156="","",商品目录!C156)</f>
        <v/>
      </c>
      <c r="C156" s="10" t="str">
        <f aca="false">IF(A156="","",商品目录!D156)</f>
        <v/>
      </c>
      <c r="D156" s="15"/>
      <c r="E156" s="10" t="str">
        <f aca="false">IF(A156="","",SUMIFS(采购记录!$D$2:$D$500,采购记录!$B$2:$B$500,A156,采购记录!$C$2:$C$500,B156))</f>
        <v/>
      </c>
      <c r="F156" s="10" t="str">
        <f aca="false">IF(A156="","",SUMIFS(订单登记!$F$2:$F$500,订单登记!$D$2:$D$500,A156,订单登记!$E$2:$E$500,B156))</f>
        <v/>
      </c>
      <c r="G156" s="10" t="str">
        <f aca="false">IF(A156="","",N(D156)+E156-F156)</f>
        <v/>
      </c>
      <c r="H156" s="10" t="str">
        <f aca="false">IF(A156="","",商品目录!I156)</f>
        <v/>
      </c>
      <c r="I156" s="10" t="str">
        <f aca="false">IF(A156="","",IF(ISNUMBER(H156),IF(G156&lt;H156,"该补货",""),""))</f>
        <v/>
      </c>
    </row>
    <row r="157" customFormat="false" ht="15" hidden="false" customHeight="false" outlineLevel="0" collapsed="false">
      <c r="A157" s="10" t="str">
        <f aca="false">IF(商品目录!B157="","",商品目录!B157)</f>
        <v/>
      </c>
      <c r="B157" s="10" t="str">
        <f aca="false">IF(A157="","",商品目录!C157)</f>
        <v/>
      </c>
      <c r="C157" s="10" t="str">
        <f aca="false">IF(A157="","",商品目录!D157)</f>
        <v/>
      </c>
      <c r="D157" s="15"/>
      <c r="E157" s="10" t="str">
        <f aca="false">IF(A157="","",SUMIFS(采购记录!$D$2:$D$500,采购记录!$B$2:$B$500,A157,采购记录!$C$2:$C$500,B157))</f>
        <v/>
      </c>
      <c r="F157" s="10" t="str">
        <f aca="false">IF(A157="","",SUMIFS(订单登记!$F$2:$F$500,订单登记!$D$2:$D$500,A157,订单登记!$E$2:$E$500,B157))</f>
        <v/>
      </c>
      <c r="G157" s="10" t="str">
        <f aca="false">IF(A157="","",N(D157)+E157-F157)</f>
        <v/>
      </c>
      <c r="H157" s="10" t="str">
        <f aca="false">IF(A157="","",商品目录!I157)</f>
        <v/>
      </c>
      <c r="I157" s="10" t="str">
        <f aca="false">IF(A157="","",IF(ISNUMBER(H157),IF(G157&lt;H157,"该补货",""),""))</f>
        <v/>
      </c>
    </row>
    <row r="158" customFormat="false" ht="15" hidden="false" customHeight="false" outlineLevel="0" collapsed="false">
      <c r="A158" s="10" t="str">
        <f aca="false">IF(商品目录!B158="","",商品目录!B158)</f>
        <v/>
      </c>
      <c r="B158" s="10" t="str">
        <f aca="false">IF(A158="","",商品目录!C158)</f>
        <v/>
      </c>
      <c r="C158" s="10" t="str">
        <f aca="false">IF(A158="","",商品目录!D158)</f>
        <v/>
      </c>
      <c r="D158" s="15"/>
      <c r="E158" s="10" t="str">
        <f aca="false">IF(A158="","",SUMIFS(采购记录!$D$2:$D$500,采购记录!$B$2:$B$500,A158,采购记录!$C$2:$C$500,B158))</f>
        <v/>
      </c>
      <c r="F158" s="10" t="str">
        <f aca="false">IF(A158="","",SUMIFS(订单登记!$F$2:$F$500,订单登记!$D$2:$D$500,A158,订单登记!$E$2:$E$500,B158))</f>
        <v/>
      </c>
      <c r="G158" s="10" t="str">
        <f aca="false">IF(A158="","",N(D158)+E158-F158)</f>
        <v/>
      </c>
      <c r="H158" s="10" t="str">
        <f aca="false">IF(A158="","",商品目录!I158)</f>
        <v/>
      </c>
      <c r="I158" s="10" t="str">
        <f aca="false">IF(A158="","",IF(ISNUMBER(H158),IF(G158&lt;H158,"该补货",""),""))</f>
        <v/>
      </c>
    </row>
    <row r="159" customFormat="false" ht="15" hidden="false" customHeight="false" outlineLevel="0" collapsed="false">
      <c r="A159" s="10" t="str">
        <f aca="false">IF(商品目录!B159="","",商品目录!B159)</f>
        <v/>
      </c>
      <c r="B159" s="10" t="str">
        <f aca="false">IF(A159="","",商品目录!C159)</f>
        <v/>
      </c>
      <c r="C159" s="10" t="str">
        <f aca="false">IF(A159="","",商品目录!D159)</f>
        <v/>
      </c>
      <c r="D159" s="15"/>
      <c r="E159" s="10" t="str">
        <f aca="false">IF(A159="","",SUMIFS(采购记录!$D$2:$D$500,采购记录!$B$2:$B$500,A159,采购记录!$C$2:$C$500,B159))</f>
        <v/>
      </c>
      <c r="F159" s="10" t="str">
        <f aca="false">IF(A159="","",SUMIFS(订单登记!$F$2:$F$500,订单登记!$D$2:$D$500,A159,订单登记!$E$2:$E$500,B159))</f>
        <v/>
      </c>
      <c r="G159" s="10" t="str">
        <f aca="false">IF(A159="","",N(D159)+E159-F159)</f>
        <v/>
      </c>
      <c r="H159" s="10" t="str">
        <f aca="false">IF(A159="","",商品目录!I159)</f>
        <v/>
      </c>
      <c r="I159" s="10" t="str">
        <f aca="false">IF(A159="","",IF(ISNUMBER(H159),IF(G159&lt;H159,"该补货",""),""))</f>
        <v/>
      </c>
    </row>
    <row r="160" customFormat="false" ht="15" hidden="false" customHeight="false" outlineLevel="0" collapsed="false">
      <c r="A160" s="10" t="str">
        <f aca="false">IF(商品目录!B160="","",商品目录!B160)</f>
        <v/>
      </c>
      <c r="B160" s="10" t="str">
        <f aca="false">IF(A160="","",商品目录!C160)</f>
        <v/>
      </c>
      <c r="C160" s="10" t="str">
        <f aca="false">IF(A160="","",商品目录!D160)</f>
        <v/>
      </c>
      <c r="D160" s="15"/>
      <c r="E160" s="10" t="str">
        <f aca="false">IF(A160="","",SUMIFS(采购记录!$D$2:$D$500,采购记录!$B$2:$B$500,A160,采购记录!$C$2:$C$500,B160))</f>
        <v/>
      </c>
      <c r="F160" s="10" t="str">
        <f aca="false">IF(A160="","",SUMIFS(订单登记!$F$2:$F$500,订单登记!$D$2:$D$500,A160,订单登记!$E$2:$E$500,B160))</f>
        <v/>
      </c>
      <c r="G160" s="10" t="str">
        <f aca="false">IF(A160="","",N(D160)+E160-F160)</f>
        <v/>
      </c>
      <c r="H160" s="10" t="str">
        <f aca="false">IF(A160="","",商品目录!I160)</f>
        <v/>
      </c>
      <c r="I160" s="10" t="str">
        <f aca="false">IF(A160="","",IF(ISNUMBER(H160),IF(G160&lt;H160,"该补货",""),""))</f>
        <v/>
      </c>
    </row>
    <row r="161" customFormat="false" ht="15" hidden="false" customHeight="false" outlineLevel="0" collapsed="false">
      <c r="A161" s="10" t="str">
        <f aca="false">IF(商品目录!B161="","",商品目录!B161)</f>
        <v/>
      </c>
      <c r="B161" s="10" t="str">
        <f aca="false">IF(A161="","",商品目录!C161)</f>
        <v/>
      </c>
      <c r="C161" s="10" t="str">
        <f aca="false">IF(A161="","",商品目录!D161)</f>
        <v/>
      </c>
      <c r="D161" s="15"/>
      <c r="E161" s="10" t="str">
        <f aca="false">IF(A161="","",SUMIFS(采购记录!$D$2:$D$500,采购记录!$B$2:$B$500,A161,采购记录!$C$2:$C$500,B161))</f>
        <v/>
      </c>
      <c r="F161" s="10" t="str">
        <f aca="false">IF(A161="","",SUMIFS(订单登记!$F$2:$F$500,订单登记!$D$2:$D$500,A161,订单登记!$E$2:$E$500,B161))</f>
        <v/>
      </c>
      <c r="G161" s="10" t="str">
        <f aca="false">IF(A161="","",N(D161)+E161-F161)</f>
        <v/>
      </c>
      <c r="H161" s="10" t="str">
        <f aca="false">IF(A161="","",商品目录!I161)</f>
        <v/>
      </c>
      <c r="I161" s="10" t="str">
        <f aca="false">IF(A161="","",IF(ISNUMBER(H161),IF(G161&lt;H161,"该补货",""),""))</f>
        <v/>
      </c>
    </row>
    <row r="162" customFormat="false" ht="15" hidden="false" customHeight="false" outlineLevel="0" collapsed="false">
      <c r="A162" s="10" t="str">
        <f aca="false">IF(商品目录!B162="","",商品目录!B162)</f>
        <v/>
      </c>
      <c r="B162" s="10" t="str">
        <f aca="false">IF(A162="","",商品目录!C162)</f>
        <v/>
      </c>
      <c r="C162" s="10" t="str">
        <f aca="false">IF(A162="","",商品目录!D162)</f>
        <v/>
      </c>
      <c r="D162" s="15"/>
      <c r="E162" s="10" t="str">
        <f aca="false">IF(A162="","",SUMIFS(采购记录!$D$2:$D$500,采购记录!$B$2:$B$500,A162,采购记录!$C$2:$C$500,B162))</f>
        <v/>
      </c>
      <c r="F162" s="10" t="str">
        <f aca="false">IF(A162="","",SUMIFS(订单登记!$F$2:$F$500,订单登记!$D$2:$D$500,A162,订单登记!$E$2:$E$500,B162))</f>
        <v/>
      </c>
      <c r="G162" s="10" t="str">
        <f aca="false">IF(A162="","",N(D162)+E162-F162)</f>
        <v/>
      </c>
      <c r="H162" s="10" t="str">
        <f aca="false">IF(A162="","",商品目录!I162)</f>
        <v/>
      </c>
      <c r="I162" s="10" t="str">
        <f aca="false">IF(A162="","",IF(ISNUMBER(H162),IF(G162&lt;H162,"该补货",""),""))</f>
        <v/>
      </c>
    </row>
    <row r="163" customFormat="false" ht="15" hidden="false" customHeight="false" outlineLevel="0" collapsed="false">
      <c r="A163" s="10" t="str">
        <f aca="false">IF(商品目录!B163="","",商品目录!B163)</f>
        <v/>
      </c>
      <c r="B163" s="10" t="str">
        <f aca="false">IF(A163="","",商品目录!C163)</f>
        <v/>
      </c>
      <c r="C163" s="10" t="str">
        <f aca="false">IF(A163="","",商品目录!D163)</f>
        <v/>
      </c>
      <c r="D163" s="15"/>
      <c r="E163" s="10" t="str">
        <f aca="false">IF(A163="","",SUMIFS(采购记录!$D$2:$D$500,采购记录!$B$2:$B$500,A163,采购记录!$C$2:$C$500,B163))</f>
        <v/>
      </c>
      <c r="F163" s="10" t="str">
        <f aca="false">IF(A163="","",SUMIFS(订单登记!$F$2:$F$500,订单登记!$D$2:$D$500,A163,订单登记!$E$2:$E$500,B163))</f>
        <v/>
      </c>
      <c r="G163" s="10" t="str">
        <f aca="false">IF(A163="","",N(D163)+E163-F163)</f>
        <v/>
      </c>
      <c r="H163" s="10" t="str">
        <f aca="false">IF(A163="","",商品目录!I163)</f>
        <v/>
      </c>
      <c r="I163" s="10" t="str">
        <f aca="false">IF(A163="","",IF(ISNUMBER(H163),IF(G163&lt;H163,"该补货",""),""))</f>
        <v/>
      </c>
    </row>
    <row r="164" customFormat="false" ht="15" hidden="false" customHeight="false" outlineLevel="0" collapsed="false">
      <c r="A164" s="10" t="str">
        <f aca="false">IF(商品目录!B164="","",商品目录!B164)</f>
        <v/>
      </c>
      <c r="B164" s="10" t="str">
        <f aca="false">IF(A164="","",商品目录!C164)</f>
        <v/>
      </c>
      <c r="C164" s="10" t="str">
        <f aca="false">IF(A164="","",商品目录!D164)</f>
        <v/>
      </c>
      <c r="D164" s="15"/>
      <c r="E164" s="10" t="str">
        <f aca="false">IF(A164="","",SUMIFS(采购记录!$D$2:$D$500,采购记录!$B$2:$B$500,A164,采购记录!$C$2:$C$500,B164))</f>
        <v/>
      </c>
      <c r="F164" s="10" t="str">
        <f aca="false">IF(A164="","",SUMIFS(订单登记!$F$2:$F$500,订单登记!$D$2:$D$500,A164,订单登记!$E$2:$E$500,B164))</f>
        <v/>
      </c>
      <c r="G164" s="10" t="str">
        <f aca="false">IF(A164="","",N(D164)+E164-F164)</f>
        <v/>
      </c>
      <c r="H164" s="10" t="str">
        <f aca="false">IF(A164="","",商品目录!I164)</f>
        <v/>
      </c>
      <c r="I164" s="10" t="str">
        <f aca="false">IF(A164="","",IF(ISNUMBER(H164),IF(G164&lt;H164,"该补货",""),""))</f>
        <v/>
      </c>
    </row>
    <row r="165" customFormat="false" ht="15" hidden="false" customHeight="false" outlineLevel="0" collapsed="false">
      <c r="A165" s="10" t="str">
        <f aca="false">IF(商品目录!B165="","",商品目录!B165)</f>
        <v/>
      </c>
      <c r="B165" s="10" t="str">
        <f aca="false">IF(A165="","",商品目录!C165)</f>
        <v/>
      </c>
      <c r="C165" s="10" t="str">
        <f aca="false">IF(A165="","",商品目录!D165)</f>
        <v/>
      </c>
      <c r="D165" s="15"/>
      <c r="E165" s="10" t="str">
        <f aca="false">IF(A165="","",SUMIFS(采购记录!$D$2:$D$500,采购记录!$B$2:$B$500,A165,采购记录!$C$2:$C$500,B165))</f>
        <v/>
      </c>
      <c r="F165" s="10" t="str">
        <f aca="false">IF(A165="","",SUMIFS(订单登记!$F$2:$F$500,订单登记!$D$2:$D$500,A165,订单登记!$E$2:$E$500,B165))</f>
        <v/>
      </c>
      <c r="G165" s="10" t="str">
        <f aca="false">IF(A165="","",N(D165)+E165-F165)</f>
        <v/>
      </c>
      <c r="H165" s="10" t="str">
        <f aca="false">IF(A165="","",商品目录!I165)</f>
        <v/>
      </c>
      <c r="I165" s="10" t="str">
        <f aca="false">IF(A165="","",IF(ISNUMBER(H165),IF(G165&lt;H165,"该补货",""),""))</f>
        <v/>
      </c>
    </row>
    <row r="166" customFormat="false" ht="15" hidden="false" customHeight="false" outlineLevel="0" collapsed="false">
      <c r="A166" s="10" t="str">
        <f aca="false">IF(商品目录!B166="","",商品目录!B166)</f>
        <v/>
      </c>
      <c r="B166" s="10" t="str">
        <f aca="false">IF(A166="","",商品目录!C166)</f>
        <v/>
      </c>
      <c r="C166" s="10" t="str">
        <f aca="false">IF(A166="","",商品目录!D166)</f>
        <v/>
      </c>
      <c r="D166" s="15"/>
      <c r="E166" s="10" t="str">
        <f aca="false">IF(A166="","",SUMIFS(采购记录!$D$2:$D$500,采购记录!$B$2:$B$500,A166,采购记录!$C$2:$C$500,B166))</f>
        <v/>
      </c>
      <c r="F166" s="10" t="str">
        <f aca="false">IF(A166="","",SUMIFS(订单登记!$F$2:$F$500,订单登记!$D$2:$D$500,A166,订单登记!$E$2:$E$500,B166))</f>
        <v/>
      </c>
      <c r="G166" s="10" t="str">
        <f aca="false">IF(A166="","",N(D166)+E166-F166)</f>
        <v/>
      </c>
      <c r="H166" s="10" t="str">
        <f aca="false">IF(A166="","",商品目录!I166)</f>
        <v/>
      </c>
      <c r="I166" s="10" t="str">
        <f aca="false">IF(A166="","",IF(ISNUMBER(H166),IF(G166&lt;H166,"该补货",""),""))</f>
        <v/>
      </c>
    </row>
    <row r="167" customFormat="false" ht="15" hidden="false" customHeight="false" outlineLevel="0" collapsed="false">
      <c r="A167" s="10" t="str">
        <f aca="false">IF(商品目录!B167="","",商品目录!B167)</f>
        <v/>
      </c>
      <c r="B167" s="10" t="str">
        <f aca="false">IF(A167="","",商品目录!C167)</f>
        <v/>
      </c>
      <c r="C167" s="10" t="str">
        <f aca="false">IF(A167="","",商品目录!D167)</f>
        <v/>
      </c>
      <c r="D167" s="15"/>
      <c r="E167" s="10" t="str">
        <f aca="false">IF(A167="","",SUMIFS(采购记录!$D$2:$D$500,采购记录!$B$2:$B$500,A167,采购记录!$C$2:$C$500,B167))</f>
        <v/>
      </c>
      <c r="F167" s="10" t="str">
        <f aca="false">IF(A167="","",SUMIFS(订单登记!$F$2:$F$500,订单登记!$D$2:$D$500,A167,订单登记!$E$2:$E$500,B167))</f>
        <v/>
      </c>
      <c r="G167" s="10" t="str">
        <f aca="false">IF(A167="","",N(D167)+E167-F167)</f>
        <v/>
      </c>
      <c r="H167" s="10" t="str">
        <f aca="false">IF(A167="","",商品目录!I167)</f>
        <v/>
      </c>
      <c r="I167" s="10" t="str">
        <f aca="false">IF(A167="","",IF(ISNUMBER(H167),IF(G167&lt;H167,"该补货",""),""))</f>
        <v/>
      </c>
    </row>
    <row r="168" customFormat="false" ht="15" hidden="false" customHeight="false" outlineLevel="0" collapsed="false">
      <c r="A168" s="10" t="str">
        <f aca="false">IF(商品目录!B168="","",商品目录!B168)</f>
        <v/>
      </c>
      <c r="B168" s="10" t="str">
        <f aca="false">IF(A168="","",商品目录!C168)</f>
        <v/>
      </c>
      <c r="C168" s="10" t="str">
        <f aca="false">IF(A168="","",商品目录!D168)</f>
        <v/>
      </c>
      <c r="D168" s="15"/>
      <c r="E168" s="10" t="str">
        <f aca="false">IF(A168="","",SUMIFS(采购记录!$D$2:$D$500,采购记录!$B$2:$B$500,A168,采购记录!$C$2:$C$500,B168))</f>
        <v/>
      </c>
      <c r="F168" s="10" t="str">
        <f aca="false">IF(A168="","",SUMIFS(订单登记!$F$2:$F$500,订单登记!$D$2:$D$500,A168,订单登记!$E$2:$E$500,B168))</f>
        <v/>
      </c>
      <c r="G168" s="10" t="str">
        <f aca="false">IF(A168="","",N(D168)+E168-F168)</f>
        <v/>
      </c>
      <c r="H168" s="10" t="str">
        <f aca="false">IF(A168="","",商品目录!I168)</f>
        <v/>
      </c>
      <c r="I168" s="10" t="str">
        <f aca="false">IF(A168="","",IF(ISNUMBER(H168),IF(G168&lt;H168,"该补货",""),""))</f>
        <v/>
      </c>
    </row>
    <row r="169" customFormat="false" ht="15" hidden="false" customHeight="false" outlineLevel="0" collapsed="false">
      <c r="A169" s="10" t="str">
        <f aca="false">IF(商品目录!B169="","",商品目录!B169)</f>
        <v/>
      </c>
      <c r="B169" s="10" t="str">
        <f aca="false">IF(A169="","",商品目录!C169)</f>
        <v/>
      </c>
      <c r="C169" s="10" t="str">
        <f aca="false">IF(A169="","",商品目录!D169)</f>
        <v/>
      </c>
      <c r="D169" s="15"/>
      <c r="E169" s="10" t="str">
        <f aca="false">IF(A169="","",SUMIFS(采购记录!$D$2:$D$500,采购记录!$B$2:$B$500,A169,采购记录!$C$2:$C$500,B169))</f>
        <v/>
      </c>
      <c r="F169" s="10" t="str">
        <f aca="false">IF(A169="","",SUMIFS(订单登记!$F$2:$F$500,订单登记!$D$2:$D$500,A169,订单登记!$E$2:$E$500,B169))</f>
        <v/>
      </c>
      <c r="G169" s="10" t="str">
        <f aca="false">IF(A169="","",N(D169)+E169-F169)</f>
        <v/>
      </c>
      <c r="H169" s="10" t="str">
        <f aca="false">IF(A169="","",商品目录!I169)</f>
        <v/>
      </c>
      <c r="I169" s="10" t="str">
        <f aca="false">IF(A169="","",IF(ISNUMBER(H169),IF(G169&lt;H169,"该补货",""),""))</f>
        <v/>
      </c>
    </row>
    <row r="170" customFormat="false" ht="15" hidden="false" customHeight="false" outlineLevel="0" collapsed="false">
      <c r="A170" s="10" t="str">
        <f aca="false">IF(商品目录!B170="","",商品目录!B170)</f>
        <v/>
      </c>
      <c r="B170" s="10" t="str">
        <f aca="false">IF(A170="","",商品目录!C170)</f>
        <v/>
      </c>
      <c r="C170" s="10" t="str">
        <f aca="false">IF(A170="","",商品目录!D170)</f>
        <v/>
      </c>
      <c r="D170" s="15"/>
      <c r="E170" s="10" t="str">
        <f aca="false">IF(A170="","",SUMIFS(采购记录!$D$2:$D$500,采购记录!$B$2:$B$500,A170,采购记录!$C$2:$C$500,B170))</f>
        <v/>
      </c>
      <c r="F170" s="10" t="str">
        <f aca="false">IF(A170="","",SUMIFS(订单登记!$F$2:$F$500,订单登记!$D$2:$D$500,A170,订单登记!$E$2:$E$500,B170))</f>
        <v/>
      </c>
      <c r="G170" s="10" t="str">
        <f aca="false">IF(A170="","",N(D170)+E170-F170)</f>
        <v/>
      </c>
      <c r="H170" s="10" t="str">
        <f aca="false">IF(A170="","",商品目录!I170)</f>
        <v/>
      </c>
      <c r="I170" s="10" t="str">
        <f aca="false">IF(A170="","",IF(ISNUMBER(H170),IF(G170&lt;H170,"该补货",""),""))</f>
        <v/>
      </c>
    </row>
    <row r="171" customFormat="false" ht="15" hidden="false" customHeight="false" outlineLevel="0" collapsed="false">
      <c r="A171" s="10" t="str">
        <f aca="false">IF(商品目录!B171="","",商品目录!B171)</f>
        <v/>
      </c>
      <c r="B171" s="10" t="str">
        <f aca="false">IF(A171="","",商品目录!C171)</f>
        <v/>
      </c>
      <c r="C171" s="10" t="str">
        <f aca="false">IF(A171="","",商品目录!D171)</f>
        <v/>
      </c>
      <c r="D171" s="15"/>
      <c r="E171" s="10" t="str">
        <f aca="false">IF(A171="","",SUMIFS(采购记录!$D$2:$D$500,采购记录!$B$2:$B$500,A171,采购记录!$C$2:$C$500,B171))</f>
        <v/>
      </c>
      <c r="F171" s="10" t="str">
        <f aca="false">IF(A171="","",SUMIFS(订单登记!$F$2:$F$500,订单登记!$D$2:$D$500,A171,订单登记!$E$2:$E$500,B171))</f>
        <v/>
      </c>
      <c r="G171" s="10" t="str">
        <f aca="false">IF(A171="","",N(D171)+E171-F171)</f>
        <v/>
      </c>
      <c r="H171" s="10" t="str">
        <f aca="false">IF(A171="","",商品目录!I171)</f>
        <v/>
      </c>
      <c r="I171" s="10" t="str">
        <f aca="false">IF(A171="","",IF(ISNUMBER(H171),IF(G171&lt;H171,"该补货",""),""))</f>
        <v/>
      </c>
    </row>
    <row r="172" customFormat="false" ht="15" hidden="false" customHeight="false" outlineLevel="0" collapsed="false">
      <c r="A172" s="10" t="str">
        <f aca="false">IF(商品目录!B172="","",商品目录!B172)</f>
        <v/>
      </c>
      <c r="B172" s="10" t="str">
        <f aca="false">IF(A172="","",商品目录!C172)</f>
        <v/>
      </c>
      <c r="C172" s="10" t="str">
        <f aca="false">IF(A172="","",商品目录!D172)</f>
        <v/>
      </c>
      <c r="D172" s="15"/>
      <c r="E172" s="10" t="str">
        <f aca="false">IF(A172="","",SUMIFS(采购记录!$D$2:$D$500,采购记录!$B$2:$B$500,A172,采购记录!$C$2:$C$500,B172))</f>
        <v/>
      </c>
      <c r="F172" s="10" t="str">
        <f aca="false">IF(A172="","",SUMIFS(订单登记!$F$2:$F$500,订单登记!$D$2:$D$500,A172,订单登记!$E$2:$E$500,B172))</f>
        <v/>
      </c>
      <c r="G172" s="10" t="str">
        <f aca="false">IF(A172="","",N(D172)+E172-F172)</f>
        <v/>
      </c>
      <c r="H172" s="10" t="str">
        <f aca="false">IF(A172="","",商品目录!I172)</f>
        <v/>
      </c>
      <c r="I172" s="10" t="str">
        <f aca="false">IF(A172="","",IF(ISNUMBER(H172),IF(G172&lt;H172,"该补货",""),""))</f>
        <v/>
      </c>
    </row>
    <row r="173" customFormat="false" ht="15" hidden="false" customHeight="false" outlineLevel="0" collapsed="false">
      <c r="A173" s="10" t="str">
        <f aca="false">IF(商品目录!B173="","",商品目录!B173)</f>
        <v/>
      </c>
      <c r="B173" s="10" t="str">
        <f aca="false">IF(A173="","",商品目录!C173)</f>
        <v/>
      </c>
      <c r="C173" s="10" t="str">
        <f aca="false">IF(A173="","",商品目录!D173)</f>
        <v/>
      </c>
      <c r="D173" s="15"/>
      <c r="E173" s="10" t="str">
        <f aca="false">IF(A173="","",SUMIFS(采购记录!$D$2:$D$500,采购记录!$B$2:$B$500,A173,采购记录!$C$2:$C$500,B173))</f>
        <v/>
      </c>
      <c r="F173" s="10" t="str">
        <f aca="false">IF(A173="","",SUMIFS(订单登记!$F$2:$F$500,订单登记!$D$2:$D$500,A173,订单登记!$E$2:$E$500,B173))</f>
        <v/>
      </c>
      <c r="G173" s="10" t="str">
        <f aca="false">IF(A173="","",N(D173)+E173-F173)</f>
        <v/>
      </c>
      <c r="H173" s="10" t="str">
        <f aca="false">IF(A173="","",商品目录!I173)</f>
        <v/>
      </c>
      <c r="I173" s="10" t="str">
        <f aca="false">IF(A173="","",IF(ISNUMBER(H173),IF(G173&lt;H173,"该补货",""),""))</f>
        <v/>
      </c>
    </row>
    <row r="174" customFormat="false" ht="15" hidden="false" customHeight="false" outlineLevel="0" collapsed="false">
      <c r="A174" s="10" t="str">
        <f aca="false">IF(商品目录!B174="","",商品目录!B174)</f>
        <v/>
      </c>
      <c r="B174" s="10" t="str">
        <f aca="false">IF(A174="","",商品目录!C174)</f>
        <v/>
      </c>
      <c r="C174" s="10" t="str">
        <f aca="false">IF(A174="","",商品目录!D174)</f>
        <v/>
      </c>
      <c r="D174" s="15"/>
      <c r="E174" s="10" t="str">
        <f aca="false">IF(A174="","",SUMIFS(采购记录!$D$2:$D$500,采购记录!$B$2:$B$500,A174,采购记录!$C$2:$C$500,B174))</f>
        <v/>
      </c>
      <c r="F174" s="10" t="str">
        <f aca="false">IF(A174="","",SUMIFS(订单登记!$F$2:$F$500,订单登记!$D$2:$D$500,A174,订单登记!$E$2:$E$500,B174))</f>
        <v/>
      </c>
      <c r="G174" s="10" t="str">
        <f aca="false">IF(A174="","",N(D174)+E174-F174)</f>
        <v/>
      </c>
      <c r="H174" s="10" t="str">
        <f aca="false">IF(A174="","",商品目录!I174)</f>
        <v/>
      </c>
      <c r="I174" s="10" t="str">
        <f aca="false">IF(A174="","",IF(ISNUMBER(H174),IF(G174&lt;H174,"该补货",""),""))</f>
        <v/>
      </c>
    </row>
    <row r="175" customFormat="false" ht="15" hidden="false" customHeight="false" outlineLevel="0" collapsed="false">
      <c r="A175" s="10" t="str">
        <f aca="false">IF(商品目录!B175="","",商品目录!B175)</f>
        <v/>
      </c>
      <c r="B175" s="10" t="str">
        <f aca="false">IF(A175="","",商品目录!C175)</f>
        <v/>
      </c>
      <c r="C175" s="10" t="str">
        <f aca="false">IF(A175="","",商品目录!D175)</f>
        <v/>
      </c>
      <c r="D175" s="15"/>
      <c r="E175" s="10" t="str">
        <f aca="false">IF(A175="","",SUMIFS(采购记录!$D$2:$D$500,采购记录!$B$2:$B$500,A175,采购记录!$C$2:$C$500,B175))</f>
        <v/>
      </c>
      <c r="F175" s="10" t="str">
        <f aca="false">IF(A175="","",SUMIFS(订单登记!$F$2:$F$500,订单登记!$D$2:$D$500,A175,订单登记!$E$2:$E$500,B175))</f>
        <v/>
      </c>
      <c r="G175" s="10" t="str">
        <f aca="false">IF(A175="","",N(D175)+E175-F175)</f>
        <v/>
      </c>
      <c r="H175" s="10" t="str">
        <f aca="false">IF(A175="","",商品目录!I175)</f>
        <v/>
      </c>
      <c r="I175" s="10" t="str">
        <f aca="false">IF(A175="","",IF(ISNUMBER(H175),IF(G175&lt;H175,"该补货",""),""))</f>
        <v/>
      </c>
    </row>
    <row r="176" customFormat="false" ht="15" hidden="false" customHeight="false" outlineLevel="0" collapsed="false">
      <c r="A176" s="10" t="str">
        <f aca="false">IF(商品目录!B176="","",商品目录!B176)</f>
        <v/>
      </c>
      <c r="B176" s="10" t="str">
        <f aca="false">IF(A176="","",商品目录!C176)</f>
        <v/>
      </c>
      <c r="C176" s="10" t="str">
        <f aca="false">IF(A176="","",商品目录!D176)</f>
        <v/>
      </c>
      <c r="D176" s="15"/>
      <c r="E176" s="10" t="str">
        <f aca="false">IF(A176="","",SUMIFS(采购记录!$D$2:$D$500,采购记录!$B$2:$B$500,A176,采购记录!$C$2:$C$500,B176))</f>
        <v/>
      </c>
      <c r="F176" s="10" t="str">
        <f aca="false">IF(A176="","",SUMIFS(订单登记!$F$2:$F$500,订单登记!$D$2:$D$500,A176,订单登记!$E$2:$E$500,B176))</f>
        <v/>
      </c>
      <c r="G176" s="10" t="str">
        <f aca="false">IF(A176="","",N(D176)+E176-F176)</f>
        <v/>
      </c>
      <c r="H176" s="10" t="str">
        <f aca="false">IF(A176="","",商品目录!I176)</f>
        <v/>
      </c>
      <c r="I176" s="10" t="str">
        <f aca="false">IF(A176="","",IF(ISNUMBER(H176),IF(G176&lt;H176,"该补货",""),""))</f>
        <v/>
      </c>
    </row>
    <row r="177" customFormat="false" ht="15" hidden="false" customHeight="false" outlineLevel="0" collapsed="false">
      <c r="A177" s="10" t="str">
        <f aca="false">IF(商品目录!B177="","",商品目录!B177)</f>
        <v/>
      </c>
      <c r="B177" s="10" t="str">
        <f aca="false">IF(A177="","",商品目录!C177)</f>
        <v/>
      </c>
      <c r="C177" s="10" t="str">
        <f aca="false">IF(A177="","",商品目录!D177)</f>
        <v/>
      </c>
      <c r="D177" s="15"/>
      <c r="E177" s="10" t="str">
        <f aca="false">IF(A177="","",SUMIFS(采购记录!$D$2:$D$500,采购记录!$B$2:$B$500,A177,采购记录!$C$2:$C$500,B177))</f>
        <v/>
      </c>
      <c r="F177" s="10" t="str">
        <f aca="false">IF(A177="","",SUMIFS(订单登记!$F$2:$F$500,订单登记!$D$2:$D$500,A177,订单登记!$E$2:$E$500,B177))</f>
        <v/>
      </c>
      <c r="G177" s="10" t="str">
        <f aca="false">IF(A177="","",N(D177)+E177-F177)</f>
        <v/>
      </c>
      <c r="H177" s="10" t="str">
        <f aca="false">IF(A177="","",商品目录!I177)</f>
        <v/>
      </c>
      <c r="I177" s="10" t="str">
        <f aca="false">IF(A177="","",IF(ISNUMBER(H177),IF(G177&lt;H177,"该补货",""),""))</f>
        <v/>
      </c>
    </row>
    <row r="178" customFormat="false" ht="15" hidden="false" customHeight="false" outlineLevel="0" collapsed="false">
      <c r="A178" s="10" t="str">
        <f aca="false">IF(商品目录!B178="","",商品目录!B178)</f>
        <v/>
      </c>
      <c r="B178" s="10" t="str">
        <f aca="false">IF(A178="","",商品目录!C178)</f>
        <v/>
      </c>
      <c r="C178" s="10" t="str">
        <f aca="false">IF(A178="","",商品目录!D178)</f>
        <v/>
      </c>
      <c r="D178" s="15"/>
      <c r="E178" s="10" t="str">
        <f aca="false">IF(A178="","",SUMIFS(采购记录!$D$2:$D$500,采购记录!$B$2:$B$500,A178,采购记录!$C$2:$C$500,B178))</f>
        <v/>
      </c>
      <c r="F178" s="10" t="str">
        <f aca="false">IF(A178="","",SUMIFS(订单登记!$F$2:$F$500,订单登记!$D$2:$D$500,A178,订单登记!$E$2:$E$500,B178))</f>
        <v/>
      </c>
      <c r="G178" s="10" t="str">
        <f aca="false">IF(A178="","",N(D178)+E178-F178)</f>
        <v/>
      </c>
      <c r="H178" s="10" t="str">
        <f aca="false">IF(A178="","",商品目录!I178)</f>
        <v/>
      </c>
      <c r="I178" s="10" t="str">
        <f aca="false">IF(A178="","",IF(ISNUMBER(H178),IF(G178&lt;H178,"该补货",""),""))</f>
        <v/>
      </c>
    </row>
    <row r="179" customFormat="false" ht="15" hidden="false" customHeight="false" outlineLevel="0" collapsed="false">
      <c r="A179" s="10" t="str">
        <f aca="false">IF(商品目录!B179="","",商品目录!B179)</f>
        <v/>
      </c>
      <c r="B179" s="10" t="str">
        <f aca="false">IF(A179="","",商品目录!C179)</f>
        <v/>
      </c>
      <c r="C179" s="10" t="str">
        <f aca="false">IF(A179="","",商品目录!D179)</f>
        <v/>
      </c>
      <c r="D179" s="15"/>
      <c r="E179" s="10" t="str">
        <f aca="false">IF(A179="","",SUMIFS(采购记录!$D$2:$D$500,采购记录!$B$2:$B$500,A179,采购记录!$C$2:$C$500,B179))</f>
        <v/>
      </c>
      <c r="F179" s="10" t="str">
        <f aca="false">IF(A179="","",SUMIFS(订单登记!$F$2:$F$500,订单登记!$D$2:$D$500,A179,订单登记!$E$2:$E$500,B179))</f>
        <v/>
      </c>
      <c r="G179" s="10" t="str">
        <f aca="false">IF(A179="","",N(D179)+E179-F179)</f>
        <v/>
      </c>
      <c r="H179" s="10" t="str">
        <f aca="false">IF(A179="","",商品目录!I179)</f>
        <v/>
      </c>
      <c r="I179" s="10" t="str">
        <f aca="false">IF(A179="","",IF(ISNUMBER(H179),IF(G179&lt;H179,"该补货",""),""))</f>
        <v/>
      </c>
    </row>
    <row r="180" customFormat="false" ht="15" hidden="false" customHeight="false" outlineLevel="0" collapsed="false">
      <c r="A180" s="10" t="str">
        <f aca="false">IF(商品目录!B180="","",商品目录!B180)</f>
        <v/>
      </c>
      <c r="B180" s="10" t="str">
        <f aca="false">IF(A180="","",商品目录!C180)</f>
        <v/>
      </c>
      <c r="C180" s="10" t="str">
        <f aca="false">IF(A180="","",商品目录!D180)</f>
        <v/>
      </c>
      <c r="D180" s="15"/>
      <c r="E180" s="10" t="str">
        <f aca="false">IF(A180="","",SUMIFS(采购记录!$D$2:$D$500,采购记录!$B$2:$B$500,A180,采购记录!$C$2:$C$500,B180))</f>
        <v/>
      </c>
      <c r="F180" s="10" t="str">
        <f aca="false">IF(A180="","",SUMIFS(订单登记!$F$2:$F$500,订单登记!$D$2:$D$500,A180,订单登记!$E$2:$E$500,B180))</f>
        <v/>
      </c>
      <c r="G180" s="10" t="str">
        <f aca="false">IF(A180="","",N(D180)+E180-F180)</f>
        <v/>
      </c>
      <c r="H180" s="10" t="str">
        <f aca="false">IF(A180="","",商品目录!I180)</f>
        <v/>
      </c>
      <c r="I180" s="10" t="str">
        <f aca="false">IF(A180="","",IF(ISNUMBER(H180),IF(G180&lt;H180,"该补货",""),""))</f>
        <v/>
      </c>
    </row>
    <row r="181" customFormat="false" ht="15" hidden="false" customHeight="false" outlineLevel="0" collapsed="false">
      <c r="A181" s="10" t="str">
        <f aca="false">IF(商品目录!B181="","",商品目录!B181)</f>
        <v/>
      </c>
      <c r="B181" s="10" t="str">
        <f aca="false">IF(A181="","",商品目录!C181)</f>
        <v/>
      </c>
      <c r="C181" s="10" t="str">
        <f aca="false">IF(A181="","",商品目录!D181)</f>
        <v/>
      </c>
      <c r="D181" s="15"/>
      <c r="E181" s="10" t="str">
        <f aca="false">IF(A181="","",SUMIFS(采购记录!$D$2:$D$500,采购记录!$B$2:$B$500,A181,采购记录!$C$2:$C$500,B181))</f>
        <v/>
      </c>
      <c r="F181" s="10" t="str">
        <f aca="false">IF(A181="","",SUMIFS(订单登记!$F$2:$F$500,订单登记!$D$2:$D$500,A181,订单登记!$E$2:$E$500,B181))</f>
        <v/>
      </c>
      <c r="G181" s="10" t="str">
        <f aca="false">IF(A181="","",N(D181)+E181-F181)</f>
        <v/>
      </c>
      <c r="H181" s="10" t="str">
        <f aca="false">IF(A181="","",商品目录!I181)</f>
        <v/>
      </c>
      <c r="I181" s="10" t="str">
        <f aca="false">IF(A181="","",IF(ISNUMBER(H181),IF(G181&lt;H181,"该补货",""),""))</f>
        <v/>
      </c>
    </row>
    <row r="182" customFormat="false" ht="15" hidden="false" customHeight="false" outlineLevel="0" collapsed="false">
      <c r="A182" s="10" t="str">
        <f aca="false">IF(商品目录!B182="","",商品目录!B182)</f>
        <v/>
      </c>
      <c r="B182" s="10" t="str">
        <f aca="false">IF(A182="","",商品目录!C182)</f>
        <v/>
      </c>
      <c r="C182" s="10" t="str">
        <f aca="false">IF(A182="","",商品目录!D182)</f>
        <v/>
      </c>
      <c r="D182" s="15"/>
      <c r="E182" s="10" t="str">
        <f aca="false">IF(A182="","",SUMIFS(采购记录!$D$2:$D$500,采购记录!$B$2:$B$500,A182,采购记录!$C$2:$C$500,B182))</f>
        <v/>
      </c>
      <c r="F182" s="10" t="str">
        <f aca="false">IF(A182="","",SUMIFS(订单登记!$F$2:$F$500,订单登记!$D$2:$D$500,A182,订单登记!$E$2:$E$500,B182))</f>
        <v/>
      </c>
      <c r="G182" s="10" t="str">
        <f aca="false">IF(A182="","",N(D182)+E182-F182)</f>
        <v/>
      </c>
      <c r="H182" s="10" t="str">
        <f aca="false">IF(A182="","",商品目录!I182)</f>
        <v/>
      </c>
      <c r="I182" s="10" t="str">
        <f aca="false">IF(A182="","",IF(ISNUMBER(H182),IF(G182&lt;H182,"该补货",""),""))</f>
        <v/>
      </c>
    </row>
    <row r="183" customFormat="false" ht="15" hidden="false" customHeight="false" outlineLevel="0" collapsed="false">
      <c r="A183" s="10" t="str">
        <f aca="false">IF(商品目录!B183="","",商品目录!B183)</f>
        <v/>
      </c>
      <c r="B183" s="10" t="str">
        <f aca="false">IF(A183="","",商品目录!C183)</f>
        <v/>
      </c>
      <c r="C183" s="10" t="str">
        <f aca="false">IF(A183="","",商品目录!D183)</f>
        <v/>
      </c>
      <c r="D183" s="15"/>
      <c r="E183" s="10" t="str">
        <f aca="false">IF(A183="","",SUMIFS(采购记录!$D$2:$D$500,采购记录!$B$2:$B$500,A183,采购记录!$C$2:$C$500,B183))</f>
        <v/>
      </c>
      <c r="F183" s="10" t="str">
        <f aca="false">IF(A183="","",SUMIFS(订单登记!$F$2:$F$500,订单登记!$D$2:$D$500,A183,订单登记!$E$2:$E$500,B183))</f>
        <v/>
      </c>
      <c r="G183" s="10" t="str">
        <f aca="false">IF(A183="","",N(D183)+E183-F183)</f>
        <v/>
      </c>
      <c r="H183" s="10" t="str">
        <f aca="false">IF(A183="","",商品目录!I183)</f>
        <v/>
      </c>
      <c r="I183" s="10" t="str">
        <f aca="false">IF(A183="","",IF(ISNUMBER(H183),IF(G183&lt;H183,"该补货",""),""))</f>
        <v/>
      </c>
    </row>
    <row r="184" customFormat="false" ht="15" hidden="false" customHeight="false" outlineLevel="0" collapsed="false">
      <c r="A184" s="10" t="str">
        <f aca="false">IF(商品目录!B184="","",商品目录!B184)</f>
        <v/>
      </c>
      <c r="B184" s="10" t="str">
        <f aca="false">IF(A184="","",商品目录!C184)</f>
        <v/>
      </c>
      <c r="C184" s="10" t="str">
        <f aca="false">IF(A184="","",商品目录!D184)</f>
        <v/>
      </c>
      <c r="D184" s="15"/>
      <c r="E184" s="10" t="str">
        <f aca="false">IF(A184="","",SUMIFS(采购记录!$D$2:$D$500,采购记录!$B$2:$B$500,A184,采购记录!$C$2:$C$500,B184))</f>
        <v/>
      </c>
      <c r="F184" s="10" t="str">
        <f aca="false">IF(A184="","",SUMIFS(订单登记!$F$2:$F$500,订单登记!$D$2:$D$500,A184,订单登记!$E$2:$E$500,B184))</f>
        <v/>
      </c>
      <c r="G184" s="10" t="str">
        <f aca="false">IF(A184="","",N(D184)+E184-F184)</f>
        <v/>
      </c>
      <c r="H184" s="10" t="str">
        <f aca="false">IF(A184="","",商品目录!I184)</f>
        <v/>
      </c>
      <c r="I184" s="10" t="str">
        <f aca="false">IF(A184="","",IF(ISNUMBER(H184),IF(G184&lt;H184,"该补货",""),""))</f>
        <v/>
      </c>
    </row>
    <row r="185" customFormat="false" ht="15" hidden="false" customHeight="false" outlineLevel="0" collapsed="false">
      <c r="A185" s="10" t="str">
        <f aca="false">IF(商品目录!B185="","",商品目录!B185)</f>
        <v/>
      </c>
      <c r="B185" s="10" t="str">
        <f aca="false">IF(A185="","",商品目录!C185)</f>
        <v/>
      </c>
      <c r="C185" s="10" t="str">
        <f aca="false">IF(A185="","",商品目录!D185)</f>
        <v/>
      </c>
      <c r="D185" s="15"/>
      <c r="E185" s="10" t="str">
        <f aca="false">IF(A185="","",SUMIFS(采购记录!$D$2:$D$500,采购记录!$B$2:$B$500,A185,采购记录!$C$2:$C$500,B185))</f>
        <v/>
      </c>
      <c r="F185" s="10" t="str">
        <f aca="false">IF(A185="","",SUMIFS(订单登记!$F$2:$F$500,订单登记!$D$2:$D$500,A185,订单登记!$E$2:$E$500,B185))</f>
        <v/>
      </c>
      <c r="G185" s="10" t="str">
        <f aca="false">IF(A185="","",N(D185)+E185-F185)</f>
        <v/>
      </c>
      <c r="H185" s="10" t="str">
        <f aca="false">IF(A185="","",商品目录!I185)</f>
        <v/>
      </c>
      <c r="I185" s="10" t="str">
        <f aca="false">IF(A185="","",IF(ISNUMBER(H185),IF(G185&lt;H185,"该补货",""),""))</f>
        <v/>
      </c>
    </row>
    <row r="186" customFormat="false" ht="15" hidden="false" customHeight="false" outlineLevel="0" collapsed="false">
      <c r="A186" s="10" t="str">
        <f aca="false">IF(商品目录!B186="","",商品目录!B186)</f>
        <v/>
      </c>
      <c r="B186" s="10" t="str">
        <f aca="false">IF(A186="","",商品目录!C186)</f>
        <v/>
      </c>
      <c r="C186" s="10" t="str">
        <f aca="false">IF(A186="","",商品目录!D186)</f>
        <v/>
      </c>
      <c r="D186" s="15"/>
      <c r="E186" s="10" t="str">
        <f aca="false">IF(A186="","",SUMIFS(采购记录!$D$2:$D$500,采购记录!$B$2:$B$500,A186,采购记录!$C$2:$C$500,B186))</f>
        <v/>
      </c>
      <c r="F186" s="10" t="str">
        <f aca="false">IF(A186="","",SUMIFS(订单登记!$F$2:$F$500,订单登记!$D$2:$D$500,A186,订单登记!$E$2:$E$500,B186))</f>
        <v/>
      </c>
      <c r="G186" s="10" t="str">
        <f aca="false">IF(A186="","",N(D186)+E186-F186)</f>
        <v/>
      </c>
      <c r="H186" s="10" t="str">
        <f aca="false">IF(A186="","",商品目录!I186)</f>
        <v/>
      </c>
      <c r="I186" s="10" t="str">
        <f aca="false">IF(A186="","",IF(ISNUMBER(H186),IF(G186&lt;H186,"该补货",""),""))</f>
        <v/>
      </c>
    </row>
    <row r="187" customFormat="false" ht="15" hidden="false" customHeight="false" outlineLevel="0" collapsed="false">
      <c r="A187" s="10" t="str">
        <f aca="false">IF(商品目录!B187="","",商品目录!B187)</f>
        <v/>
      </c>
      <c r="B187" s="10" t="str">
        <f aca="false">IF(A187="","",商品目录!C187)</f>
        <v/>
      </c>
      <c r="C187" s="10" t="str">
        <f aca="false">IF(A187="","",商品目录!D187)</f>
        <v/>
      </c>
      <c r="D187" s="15"/>
      <c r="E187" s="10" t="str">
        <f aca="false">IF(A187="","",SUMIFS(采购记录!$D$2:$D$500,采购记录!$B$2:$B$500,A187,采购记录!$C$2:$C$500,B187))</f>
        <v/>
      </c>
      <c r="F187" s="10" t="str">
        <f aca="false">IF(A187="","",SUMIFS(订单登记!$F$2:$F$500,订单登记!$D$2:$D$500,A187,订单登记!$E$2:$E$500,B187))</f>
        <v/>
      </c>
      <c r="G187" s="10" t="str">
        <f aca="false">IF(A187="","",N(D187)+E187-F187)</f>
        <v/>
      </c>
      <c r="H187" s="10" t="str">
        <f aca="false">IF(A187="","",商品目录!I187)</f>
        <v/>
      </c>
      <c r="I187" s="10" t="str">
        <f aca="false">IF(A187="","",IF(ISNUMBER(H187),IF(G187&lt;H187,"该补货",""),""))</f>
        <v/>
      </c>
    </row>
    <row r="188" customFormat="false" ht="15" hidden="false" customHeight="false" outlineLevel="0" collapsed="false">
      <c r="A188" s="10" t="str">
        <f aca="false">IF(商品目录!B188="","",商品目录!B188)</f>
        <v/>
      </c>
      <c r="B188" s="10" t="str">
        <f aca="false">IF(A188="","",商品目录!C188)</f>
        <v/>
      </c>
      <c r="C188" s="10" t="str">
        <f aca="false">IF(A188="","",商品目录!D188)</f>
        <v/>
      </c>
      <c r="D188" s="15"/>
      <c r="E188" s="10" t="str">
        <f aca="false">IF(A188="","",SUMIFS(采购记录!$D$2:$D$500,采购记录!$B$2:$B$500,A188,采购记录!$C$2:$C$500,B188))</f>
        <v/>
      </c>
      <c r="F188" s="10" t="str">
        <f aca="false">IF(A188="","",SUMIFS(订单登记!$F$2:$F$500,订单登记!$D$2:$D$500,A188,订单登记!$E$2:$E$500,B188))</f>
        <v/>
      </c>
      <c r="G188" s="10" t="str">
        <f aca="false">IF(A188="","",N(D188)+E188-F188)</f>
        <v/>
      </c>
      <c r="H188" s="10" t="str">
        <f aca="false">IF(A188="","",商品目录!I188)</f>
        <v/>
      </c>
      <c r="I188" s="10" t="str">
        <f aca="false">IF(A188="","",IF(ISNUMBER(H188),IF(G188&lt;H188,"该补货",""),""))</f>
        <v/>
      </c>
    </row>
    <row r="189" customFormat="false" ht="15" hidden="false" customHeight="false" outlineLevel="0" collapsed="false">
      <c r="A189" s="10" t="str">
        <f aca="false">IF(商品目录!B189="","",商品目录!B189)</f>
        <v/>
      </c>
      <c r="B189" s="10" t="str">
        <f aca="false">IF(A189="","",商品目录!C189)</f>
        <v/>
      </c>
      <c r="C189" s="10" t="str">
        <f aca="false">IF(A189="","",商品目录!D189)</f>
        <v/>
      </c>
      <c r="D189" s="15"/>
      <c r="E189" s="10" t="str">
        <f aca="false">IF(A189="","",SUMIFS(采购记录!$D$2:$D$500,采购记录!$B$2:$B$500,A189,采购记录!$C$2:$C$500,B189))</f>
        <v/>
      </c>
      <c r="F189" s="10" t="str">
        <f aca="false">IF(A189="","",SUMIFS(订单登记!$F$2:$F$500,订单登记!$D$2:$D$500,A189,订单登记!$E$2:$E$500,B189))</f>
        <v/>
      </c>
      <c r="G189" s="10" t="str">
        <f aca="false">IF(A189="","",N(D189)+E189-F189)</f>
        <v/>
      </c>
      <c r="H189" s="10" t="str">
        <f aca="false">IF(A189="","",商品目录!I189)</f>
        <v/>
      </c>
      <c r="I189" s="10" t="str">
        <f aca="false">IF(A189="","",IF(ISNUMBER(H189),IF(G189&lt;H189,"该补货",""),""))</f>
        <v/>
      </c>
    </row>
    <row r="190" customFormat="false" ht="15" hidden="false" customHeight="false" outlineLevel="0" collapsed="false">
      <c r="A190" s="10" t="str">
        <f aca="false">IF(商品目录!B190="","",商品目录!B190)</f>
        <v/>
      </c>
      <c r="B190" s="10" t="str">
        <f aca="false">IF(A190="","",商品目录!C190)</f>
        <v/>
      </c>
      <c r="C190" s="10" t="str">
        <f aca="false">IF(A190="","",商品目录!D190)</f>
        <v/>
      </c>
      <c r="D190" s="15"/>
      <c r="E190" s="10" t="str">
        <f aca="false">IF(A190="","",SUMIFS(采购记录!$D$2:$D$500,采购记录!$B$2:$B$500,A190,采购记录!$C$2:$C$500,B190))</f>
        <v/>
      </c>
      <c r="F190" s="10" t="str">
        <f aca="false">IF(A190="","",SUMIFS(订单登记!$F$2:$F$500,订单登记!$D$2:$D$500,A190,订单登记!$E$2:$E$500,B190))</f>
        <v/>
      </c>
      <c r="G190" s="10" t="str">
        <f aca="false">IF(A190="","",N(D190)+E190-F190)</f>
        <v/>
      </c>
      <c r="H190" s="10" t="str">
        <f aca="false">IF(A190="","",商品目录!I190)</f>
        <v/>
      </c>
      <c r="I190" s="10" t="str">
        <f aca="false">IF(A190="","",IF(ISNUMBER(H190),IF(G190&lt;H190,"该补货",""),""))</f>
        <v/>
      </c>
    </row>
    <row r="191" customFormat="false" ht="15" hidden="false" customHeight="false" outlineLevel="0" collapsed="false">
      <c r="A191" s="10" t="str">
        <f aca="false">IF(商品目录!B191="","",商品目录!B191)</f>
        <v/>
      </c>
      <c r="B191" s="10" t="str">
        <f aca="false">IF(A191="","",商品目录!C191)</f>
        <v/>
      </c>
      <c r="C191" s="10" t="str">
        <f aca="false">IF(A191="","",商品目录!D191)</f>
        <v/>
      </c>
      <c r="D191" s="15"/>
      <c r="E191" s="10" t="str">
        <f aca="false">IF(A191="","",SUMIFS(采购记录!$D$2:$D$500,采购记录!$B$2:$B$500,A191,采购记录!$C$2:$C$500,B191))</f>
        <v/>
      </c>
      <c r="F191" s="10" t="str">
        <f aca="false">IF(A191="","",SUMIFS(订单登记!$F$2:$F$500,订单登记!$D$2:$D$500,A191,订单登记!$E$2:$E$500,B191))</f>
        <v/>
      </c>
      <c r="G191" s="10" t="str">
        <f aca="false">IF(A191="","",N(D191)+E191-F191)</f>
        <v/>
      </c>
      <c r="H191" s="10" t="str">
        <f aca="false">IF(A191="","",商品目录!I191)</f>
        <v/>
      </c>
      <c r="I191" s="10" t="str">
        <f aca="false">IF(A191="","",IF(ISNUMBER(H191),IF(G191&lt;H191,"该补货",""),""))</f>
        <v/>
      </c>
    </row>
    <row r="192" customFormat="false" ht="15" hidden="false" customHeight="false" outlineLevel="0" collapsed="false">
      <c r="A192" s="10" t="str">
        <f aca="false">IF(商品目录!B192="","",商品目录!B192)</f>
        <v/>
      </c>
      <c r="B192" s="10" t="str">
        <f aca="false">IF(A192="","",商品目录!C192)</f>
        <v/>
      </c>
      <c r="C192" s="10" t="str">
        <f aca="false">IF(A192="","",商品目录!D192)</f>
        <v/>
      </c>
      <c r="D192" s="15"/>
      <c r="E192" s="10" t="str">
        <f aca="false">IF(A192="","",SUMIFS(采购记录!$D$2:$D$500,采购记录!$B$2:$B$500,A192,采购记录!$C$2:$C$500,B192))</f>
        <v/>
      </c>
      <c r="F192" s="10" t="str">
        <f aca="false">IF(A192="","",SUMIFS(订单登记!$F$2:$F$500,订单登记!$D$2:$D$500,A192,订单登记!$E$2:$E$500,B192))</f>
        <v/>
      </c>
      <c r="G192" s="10" t="str">
        <f aca="false">IF(A192="","",N(D192)+E192-F192)</f>
        <v/>
      </c>
      <c r="H192" s="10" t="str">
        <f aca="false">IF(A192="","",商品目录!I192)</f>
        <v/>
      </c>
      <c r="I192" s="10" t="str">
        <f aca="false">IF(A192="","",IF(ISNUMBER(H192),IF(G192&lt;H192,"该补货",""),""))</f>
        <v/>
      </c>
    </row>
    <row r="193" customFormat="false" ht="15" hidden="false" customHeight="false" outlineLevel="0" collapsed="false">
      <c r="A193" s="10" t="str">
        <f aca="false">IF(商品目录!B193="","",商品目录!B193)</f>
        <v/>
      </c>
      <c r="B193" s="10" t="str">
        <f aca="false">IF(A193="","",商品目录!C193)</f>
        <v/>
      </c>
      <c r="C193" s="10" t="str">
        <f aca="false">IF(A193="","",商品目录!D193)</f>
        <v/>
      </c>
      <c r="D193" s="15"/>
      <c r="E193" s="10" t="str">
        <f aca="false">IF(A193="","",SUMIFS(采购记录!$D$2:$D$500,采购记录!$B$2:$B$500,A193,采购记录!$C$2:$C$500,B193))</f>
        <v/>
      </c>
      <c r="F193" s="10" t="str">
        <f aca="false">IF(A193="","",SUMIFS(订单登记!$F$2:$F$500,订单登记!$D$2:$D$500,A193,订单登记!$E$2:$E$500,B193))</f>
        <v/>
      </c>
      <c r="G193" s="10" t="str">
        <f aca="false">IF(A193="","",N(D193)+E193-F193)</f>
        <v/>
      </c>
      <c r="H193" s="10" t="str">
        <f aca="false">IF(A193="","",商品目录!I193)</f>
        <v/>
      </c>
      <c r="I193" s="10" t="str">
        <f aca="false">IF(A193="","",IF(ISNUMBER(H193),IF(G193&lt;H193,"该补货",""),""))</f>
        <v/>
      </c>
    </row>
    <row r="194" customFormat="false" ht="15" hidden="false" customHeight="false" outlineLevel="0" collapsed="false">
      <c r="A194" s="10" t="str">
        <f aca="false">IF(商品目录!B194="","",商品目录!B194)</f>
        <v/>
      </c>
      <c r="B194" s="10" t="str">
        <f aca="false">IF(A194="","",商品目录!C194)</f>
        <v/>
      </c>
      <c r="C194" s="10" t="str">
        <f aca="false">IF(A194="","",商品目录!D194)</f>
        <v/>
      </c>
      <c r="D194" s="15"/>
      <c r="E194" s="10" t="str">
        <f aca="false">IF(A194="","",SUMIFS(采购记录!$D$2:$D$500,采购记录!$B$2:$B$500,A194,采购记录!$C$2:$C$500,B194))</f>
        <v/>
      </c>
      <c r="F194" s="10" t="str">
        <f aca="false">IF(A194="","",SUMIFS(订单登记!$F$2:$F$500,订单登记!$D$2:$D$500,A194,订单登记!$E$2:$E$500,B194))</f>
        <v/>
      </c>
      <c r="G194" s="10" t="str">
        <f aca="false">IF(A194="","",N(D194)+E194-F194)</f>
        <v/>
      </c>
      <c r="H194" s="10" t="str">
        <f aca="false">IF(A194="","",商品目录!I194)</f>
        <v/>
      </c>
      <c r="I194" s="10" t="str">
        <f aca="false">IF(A194="","",IF(ISNUMBER(H194),IF(G194&lt;H194,"该补货",""),""))</f>
        <v/>
      </c>
    </row>
    <row r="195" customFormat="false" ht="15" hidden="false" customHeight="false" outlineLevel="0" collapsed="false">
      <c r="A195" s="10" t="str">
        <f aca="false">IF(商品目录!B195="","",商品目录!B195)</f>
        <v/>
      </c>
      <c r="B195" s="10" t="str">
        <f aca="false">IF(A195="","",商品目录!C195)</f>
        <v/>
      </c>
      <c r="C195" s="10" t="str">
        <f aca="false">IF(A195="","",商品目录!D195)</f>
        <v/>
      </c>
      <c r="D195" s="15"/>
      <c r="E195" s="10" t="str">
        <f aca="false">IF(A195="","",SUMIFS(采购记录!$D$2:$D$500,采购记录!$B$2:$B$500,A195,采购记录!$C$2:$C$500,B195))</f>
        <v/>
      </c>
      <c r="F195" s="10" t="str">
        <f aca="false">IF(A195="","",SUMIFS(订单登记!$F$2:$F$500,订单登记!$D$2:$D$500,A195,订单登记!$E$2:$E$500,B195))</f>
        <v/>
      </c>
      <c r="G195" s="10" t="str">
        <f aca="false">IF(A195="","",N(D195)+E195-F195)</f>
        <v/>
      </c>
      <c r="H195" s="10" t="str">
        <f aca="false">IF(A195="","",商品目录!I195)</f>
        <v/>
      </c>
      <c r="I195" s="10" t="str">
        <f aca="false">IF(A195="","",IF(ISNUMBER(H195),IF(G195&lt;H195,"该补货",""),""))</f>
        <v/>
      </c>
    </row>
    <row r="196" customFormat="false" ht="15" hidden="false" customHeight="false" outlineLevel="0" collapsed="false">
      <c r="A196" s="10" t="str">
        <f aca="false">IF(商品目录!B196="","",商品目录!B196)</f>
        <v/>
      </c>
      <c r="B196" s="10" t="str">
        <f aca="false">IF(A196="","",商品目录!C196)</f>
        <v/>
      </c>
      <c r="C196" s="10" t="str">
        <f aca="false">IF(A196="","",商品目录!D196)</f>
        <v/>
      </c>
      <c r="D196" s="15"/>
      <c r="E196" s="10" t="str">
        <f aca="false">IF(A196="","",SUMIFS(采购记录!$D$2:$D$500,采购记录!$B$2:$B$500,A196,采购记录!$C$2:$C$500,B196))</f>
        <v/>
      </c>
      <c r="F196" s="10" t="str">
        <f aca="false">IF(A196="","",SUMIFS(订单登记!$F$2:$F$500,订单登记!$D$2:$D$500,A196,订单登记!$E$2:$E$500,B196))</f>
        <v/>
      </c>
      <c r="G196" s="10" t="str">
        <f aca="false">IF(A196="","",N(D196)+E196-F196)</f>
        <v/>
      </c>
      <c r="H196" s="10" t="str">
        <f aca="false">IF(A196="","",商品目录!I196)</f>
        <v/>
      </c>
      <c r="I196" s="10" t="str">
        <f aca="false">IF(A196="","",IF(ISNUMBER(H196),IF(G196&lt;H196,"该补货",""),""))</f>
        <v/>
      </c>
    </row>
    <row r="197" customFormat="false" ht="15" hidden="false" customHeight="false" outlineLevel="0" collapsed="false">
      <c r="A197" s="10" t="str">
        <f aca="false">IF(商品目录!B197="","",商品目录!B197)</f>
        <v/>
      </c>
      <c r="B197" s="10" t="str">
        <f aca="false">IF(A197="","",商品目录!C197)</f>
        <v/>
      </c>
      <c r="C197" s="10" t="str">
        <f aca="false">IF(A197="","",商品目录!D197)</f>
        <v/>
      </c>
      <c r="D197" s="15"/>
      <c r="E197" s="10" t="str">
        <f aca="false">IF(A197="","",SUMIFS(采购记录!$D$2:$D$500,采购记录!$B$2:$B$500,A197,采购记录!$C$2:$C$500,B197))</f>
        <v/>
      </c>
      <c r="F197" s="10" t="str">
        <f aca="false">IF(A197="","",SUMIFS(订单登记!$F$2:$F$500,订单登记!$D$2:$D$500,A197,订单登记!$E$2:$E$500,B197))</f>
        <v/>
      </c>
      <c r="G197" s="10" t="str">
        <f aca="false">IF(A197="","",N(D197)+E197-F197)</f>
        <v/>
      </c>
      <c r="H197" s="10" t="str">
        <f aca="false">IF(A197="","",商品目录!I197)</f>
        <v/>
      </c>
      <c r="I197" s="10" t="str">
        <f aca="false">IF(A197="","",IF(ISNUMBER(H197),IF(G197&lt;H197,"该补货",""),""))</f>
        <v/>
      </c>
    </row>
    <row r="198" customFormat="false" ht="15" hidden="false" customHeight="false" outlineLevel="0" collapsed="false">
      <c r="A198" s="10" t="str">
        <f aca="false">IF(商品目录!B198="","",商品目录!B198)</f>
        <v/>
      </c>
      <c r="B198" s="10" t="str">
        <f aca="false">IF(A198="","",商品目录!C198)</f>
        <v/>
      </c>
      <c r="C198" s="10" t="str">
        <f aca="false">IF(A198="","",商品目录!D198)</f>
        <v/>
      </c>
      <c r="D198" s="15"/>
      <c r="E198" s="10" t="str">
        <f aca="false">IF(A198="","",SUMIFS(采购记录!$D$2:$D$500,采购记录!$B$2:$B$500,A198,采购记录!$C$2:$C$500,B198))</f>
        <v/>
      </c>
      <c r="F198" s="10" t="str">
        <f aca="false">IF(A198="","",SUMIFS(订单登记!$F$2:$F$500,订单登记!$D$2:$D$500,A198,订单登记!$E$2:$E$500,B198))</f>
        <v/>
      </c>
      <c r="G198" s="10" t="str">
        <f aca="false">IF(A198="","",N(D198)+E198-F198)</f>
        <v/>
      </c>
      <c r="H198" s="10" t="str">
        <f aca="false">IF(A198="","",商品目录!I198)</f>
        <v/>
      </c>
      <c r="I198" s="10" t="str">
        <f aca="false">IF(A198="","",IF(ISNUMBER(H198),IF(G198&lt;H198,"该补货",""),""))</f>
        <v/>
      </c>
    </row>
    <row r="199" customFormat="false" ht="15" hidden="false" customHeight="false" outlineLevel="0" collapsed="false">
      <c r="A199" s="10" t="str">
        <f aca="false">IF(商品目录!B199="","",商品目录!B199)</f>
        <v/>
      </c>
      <c r="B199" s="10" t="str">
        <f aca="false">IF(A199="","",商品目录!C199)</f>
        <v/>
      </c>
      <c r="C199" s="10" t="str">
        <f aca="false">IF(A199="","",商品目录!D199)</f>
        <v/>
      </c>
      <c r="D199" s="15"/>
      <c r="E199" s="10" t="str">
        <f aca="false">IF(A199="","",SUMIFS(采购记录!$D$2:$D$500,采购记录!$B$2:$B$500,A199,采购记录!$C$2:$C$500,B199))</f>
        <v/>
      </c>
      <c r="F199" s="10" t="str">
        <f aca="false">IF(A199="","",SUMIFS(订单登记!$F$2:$F$500,订单登记!$D$2:$D$500,A199,订单登记!$E$2:$E$500,B199))</f>
        <v/>
      </c>
      <c r="G199" s="10" t="str">
        <f aca="false">IF(A199="","",N(D199)+E199-F199)</f>
        <v/>
      </c>
      <c r="H199" s="10" t="str">
        <f aca="false">IF(A199="","",商品目录!I199)</f>
        <v/>
      </c>
      <c r="I199" s="10" t="str">
        <f aca="false">IF(A199="","",IF(ISNUMBER(H199),IF(G199&lt;H199,"该补货",""),""))</f>
        <v/>
      </c>
    </row>
    <row r="200" customFormat="false" ht="15" hidden="false" customHeight="false" outlineLevel="0" collapsed="false">
      <c r="A200" s="10" t="str">
        <f aca="false">IF(商品目录!B200="","",商品目录!B200)</f>
        <v/>
      </c>
      <c r="B200" s="10" t="str">
        <f aca="false">IF(A200="","",商品目录!C200)</f>
        <v/>
      </c>
      <c r="C200" s="10" t="str">
        <f aca="false">IF(A200="","",商品目录!D200)</f>
        <v/>
      </c>
      <c r="D200" s="15"/>
      <c r="E200" s="10" t="str">
        <f aca="false">IF(A200="","",SUMIFS(采购记录!$D$2:$D$500,采购记录!$B$2:$B$500,A200,采购记录!$C$2:$C$500,B200))</f>
        <v/>
      </c>
      <c r="F200" s="10" t="str">
        <f aca="false">IF(A200="","",SUMIFS(订单登记!$F$2:$F$500,订单登记!$D$2:$D$500,A200,订单登记!$E$2:$E$500,B200))</f>
        <v/>
      </c>
      <c r="G200" s="10" t="str">
        <f aca="false">IF(A200="","",N(D200)+E200-F200)</f>
        <v/>
      </c>
      <c r="H200" s="10" t="str">
        <f aca="false">IF(A200="","",商品目录!I200)</f>
        <v/>
      </c>
      <c r="I200" s="10" t="str">
        <f aca="false">IF(A200="","",IF(ISNUMBER(H200),IF(G200&lt;H200,"该补货",""),""))</f>
        <v/>
      </c>
    </row>
    <row r="201" customFormat="false" ht="15" hidden="false" customHeight="false" outlineLevel="0" collapsed="false">
      <c r="A201" s="10" t="str">
        <f aca="false">IF(商品目录!B201="","",商品目录!B201)</f>
        <v/>
      </c>
      <c r="B201" s="10" t="str">
        <f aca="false">IF(A201="","",商品目录!C201)</f>
        <v/>
      </c>
      <c r="C201" s="10" t="str">
        <f aca="false">IF(A201="","",商品目录!D201)</f>
        <v/>
      </c>
      <c r="D201" s="15"/>
      <c r="E201" s="10" t="str">
        <f aca="false">IF(A201="","",SUMIFS(采购记录!$D$2:$D$500,采购记录!$B$2:$B$500,A201,采购记录!$C$2:$C$500,B201))</f>
        <v/>
      </c>
      <c r="F201" s="10" t="str">
        <f aca="false">IF(A201="","",SUMIFS(订单登记!$F$2:$F$500,订单登记!$D$2:$D$500,A201,订单登记!$E$2:$E$500,B201))</f>
        <v/>
      </c>
      <c r="G201" s="10" t="str">
        <f aca="false">IF(A201="","",N(D201)+E201-F201)</f>
        <v/>
      </c>
      <c r="H201" s="10" t="str">
        <f aca="false">IF(A201="","",商品目录!I201)</f>
        <v/>
      </c>
      <c r="I201" s="10" t="str">
        <f aca="false">IF(A201="","",IF(ISNUMBER(H201),IF(G201&lt;H201,"该补货",""),""))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9.4" hidden="false" customHeight="false" outlineLevel="0" collapsed="false">
      <c r="A1" s="1" t="s">
        <v>140</v>
      </c>
      <c r="C1" s="5"/>
    </row>
    <row r="2" customFormat="false" ht="15" hidden="false" customHeight="false" outlineLevel="0" collapsed="false">
      <c r="A2" s="2"/>
      <c r="C2" s="5"/>
    </row>
    <row r="3" customFormat="false" ht="15" hidden="false" customHeight="false" outlineLevel="0" collapsed="false">
      <c r="A3" s="16" t="s">
        <v>141</v>
      </c>
      <c r="B3" s="17" t="n">
        <f aca="false">SUM(送货回执登记!D2:D500)</f>
        <v>535</v>
      </c>
      <c r="C3" s="5" t="s">
        <v>142</v>
      </c>
    </row>
    <row r="4" customFormat="false" ht="15" hidden="false" customHeight="false" outlineLevel="0" collapsed="false">
      <c r="A4" s="16" t="s">
        <v>143</v>
      </c>
      <c r="B4" s="17" t="n">
        <f aca="false">SUMIF(订单登记!L2:L500,"&lt;&gt;已取消",订单登记!I2:I500)</f>
        <v>535</v>
      </c>
      <c r="C4" s="5" t="s">
        <v>144</v>
      </c>
    </row>
    <row r="5" customFormat="false" ht="15" hidden="false" customHeight="false" outlineLevel="0" collapsed="false">
      <c r="A5" s="16" t="s">
        <v>145</v>
      </c>
      <c r="B5" s="17" t="n">
        <f aca="false">SUM(采购记录!G2:G500)</f>
        <v>525</v>
      </c>
      <c r="C5" s="5"/>
    </row>
    <row r="6" customFormat="false" ht="15" hidden="false" customHeight="false" outlineLevel="0" collapsed="false">
      <c r="A6" s="16" t="s">
        <v>146</v>
      </c>
      <c r="B6" s="17" t="n">
        <f aca="false">SUM(收款记录!C2:C500)</f>
        <v>100</v>
      </c>
      <c r="C6" s="5" t="s">
        <v>147</v>
      </c>
    </row>
    <row r="7" customFormat="false" ht="15" hidden="false" customHeight="false" outlineLevel="0" collapsed="false">
      <c r="A7" s="16" t="s">
        <v>148</v>
      </c>
      <c r="B7" s="17" t="n">
        <f aca="false">SUM(应收对账!E2:E151)</f>
        <v>435</v>
      </c>
      <c r="C7" s="5" t="s">
        <v>149</v>
      </c>
    </row>
    <row r="8" customFormat="false" ht="15" hidden="false" customHeight="false" outlineLevel="0" collapsed="false">
      <c r="A8" s="2"/>
      <c r="C8" s="5"/>
    </row>
    <row r="9" customFormat="false" ht="15" hidden="false" customHeight="false" outlineLevel="0" collapsed="false">
      <c r="A9" s="16" t="s">
        <v>150</v>
      </c>
      <c r="B9" s="17" t="n">
        <f aca="false">B3-B5</f>
        <v>10</v>
      </c>
      <c r="C9" s="5" t="s">
        <v>151</v>
      </c>
    </row>
    <row r="10" customFormat="false" ht="15" hidden="false" customHeight="false" outlineLevel="0" collapsed="false">
      <c r="A10" s="2"/>
      <c r="C10" s="5"/>
    </row>
    <row r="11" customFormat="false" ht="15" hidden="false" customHeight="false" outlineLevel="0" collapsed="false">
      <c r="A11" s="16" t="s">
        <v>152</v>
      </c>
      <c r="C11" s="5"/>
    </row>
    <row r="12" customFormat="false" ht="15" hidden="false" customHeight="false" outlineLevel="0" collapsed="false">
      <c r="A12" s="2" t="s">
        <v>153</v>
      </c>
      <c r="B12" s="18" t="n">
        <v>0</v>
      </c>
      <c r="C12" s="5" t="s">
        <v>154</v>
      </c>
    </row>
    <row r="13" customFormat="false" ht="15" hidden="false" customHeight="false" outlineLevel="0" collapsed="false">
      <c r="A13" s="2" t="s">
        <v>155</v>
      </c>
      <c r="B13" s="18" t="n">
        <v>0</v>
      </c>
      <c r="C13" s="5" t="s">
        <v>154</v>
      </c>
    </row>
    <row r="14" customFormat="false" ht="15" hidden="false" customHeight="false" outlineLevel="0" collapsed="false">
      <c r="A14" s="2" t="s">
        <v>156</v>
      </c>
      <c r="B14" s="18" t="n">
        <v>0</v>
      </c>
      <c r="C14" s="5" t="s">
        <v>154</v>
      </c>
    </row>
    <row r="15" customFormat="false" ht="15" hidden="false" customHeight="false" outlineLevel="0" collapsed="false">
      <c r="A15" s="2" t="s">
        <v>157</v>
      </c>
      <c r="B15" s="18" t="n">
        <v>0</v>
      </c>
      <c r="C15" s="5" t="s">
        <v>154</v>
      </c>
    </row>
    <row r="16" customFormat="false" ht="15" hidden="false" customHeight="false" outlineLevel="0" collapsed="false">
      <c r="A16" s="16" t="s">
        <v>158</v>
      </c>
      <c r="B16" s="17" t="n">
        <f aca="false">SUM(B12:B15)</f>
        <v>0</v>
      </c>
      <c r="C16" s="5"/>
    </row>
    <row r="17" customFormat="false" ht="15" hidden="false" customHeight="false" outlineLevel="0" collapsed="false">
      <c r="A17" s="2"/>
      <c r="C17" s="5"/>
    </row>
    <row r="18" customFormat="false" ht="15" hidden="false" customHeight="false" outlineLevel="0" collapsed="false">
      <c r="A18" s="16" t="s">
        <v>159</v>
      </c>
      <c r="B18" s="17" t="n">
        <f aca="false">B9-B16</f>
        <v>10</v>
      </c>
      <c r="C18" s="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2026-07-31T13:10:50Z</dcterms:created>
  <dc:creator>openpyxl</dc:creator>
  <dc:description/>
  <dc:language>en-US</dc:language>
  <cp:lastModifiedBy/>
  <dcterms:modified xsi:type="dcterms:W3CDTF">2026-07-31T13:10:51Z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